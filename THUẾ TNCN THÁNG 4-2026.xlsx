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BFCD8916-E35D-4363-9536-136E0209729E}" xr6:coauthVersionLast="47" xr6:coauthVersionMax="47" xr10:uidLastSave="{00000000-0000-0000-0000-000000000000}"/>
  <bookViews>
    <workbookView xWindow="-120" yWindow="-120" windowWidth="29040" windowHeight="15720" xr2:uid="{285941B1-E9EF-4C3D-A876-4180ACD6A0AD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9" i="1" l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" i="1"/>
  <c r="Q5" i="1"/>
  <c r="Q6" i="1"/>
  <c r="Q7" i="1"/>
  <c r="Q8" i="1"/>
  <c r="Q3" i="1"/>
  <c r="L404" i="1" l="1"/>
  <c r="J404" i="1"/>
  <c r="I404" i="1"/>
  <c r="H404" i="1"/>
  <c r="G404" i="1"/>
  <c r="F404" i="1"/>
  <c r="E404" i="1"/>
  <c r="N403" i="1"/>
  <c r="O403" i="1" s="1"/>
  <c r="K403" i="1"/>
  <c r="N402" i="1"/>
  <c r="O402" i="1" s="1"/>
  <c r="K402" i="1"/>
  <c r="N401" i="1"/>
  <c r="O401" i="1" s="1"/>
  <c r="K401" i="1"/>
  <c r="N400" i="1"/>
  <c r="O400" i="1" s="1"/>
  <c r="K400" i="1"/>
  <c r="N399" i="1"/>
  <c r="O399" i="1" s="1"/>
  <c r="K399" i="1"/>
  <c r="N398" i="1"/>
  <c r="O398" i="1" s="1"/>
  <c r="K398" i="1"/>
  <c r="N397" i="1"/>
  <c r="O397" i="1" s="1"/>
  <c r="K397" i="1"/>
  <c r="N396" i="1"/>
  <c r="O396" i="1" s="1"/>
  <c r="K396" i="1"/>
  <c r="N395" i="1"/>
  <c r="O395" i="1" s="1"/>
  <c r="K395" i="1"/>
  <c r="N394" i="1"/>
  <c r="O394" i="1" s="1"/>
  <c r="K394" i="1"/>
  <c r="N393" i="1"/>
  <c r="O393" i="1" s="1"/>
  <c r="K393" i="1"/>
  <c r="N392" i="1"/>
  <c r="O392" i="1" s="1"/>
  <c r="K392" i="1"/>
  <c r="N391" i="1"/>
  <c r="K391" i="1"/>
  <c r="N390" i="1"/>
  <c r="O390" i="1" s="1"/>
  <c r="K390" i="1"/>
  <c r="N389" i="1"/>
  <c r="O389" i="1" s="1"/>
  <c r="K389" i="1"/>
  <c r="N388" i="1"/>
  <c r="O388" i="1" s="1"/>
  <c r="K388" i="1"/>
  <c r="N387" i="1"/>
  <c r="O387" i="1" s="1"/>
  <c r="K387" i="1"/>
  <c r="N386" i="1"/>
  <c r="O386" i="1" s="1"/>
  <c r="K386" i="1"/>
  <c r="N385" i="1"/>
  <c r="O385" i="1" s="1"/>
  <c r="K385" i="1"/>
  <c r="N384" i="1"/>
  <c r="O384" i="1" s="1"/>
  <c r="K384" i="1"/>
  <c r="N383" i="1"/>
  <c r="O383" i="1" s="1"/>
  <c r="K383" i="1"/>
  <c r="N382" i="1"/>
  <c r="O382" i="1" s="1"/>
  <c r="K382" i="1"/>
  <c r="N381" i="1"/>
  <c r="O381" i="1" s="1"/>
  <c r="K381" i="1"/>
  <c r="O380" i="1"/>
  <c r="N380" i="1"/>
  <c r="K380" i="1"/>
  <c r="N379" i="1"/>
  <c r="O379" i="1" s="1"/>
  <c r="K379" i="1"/>
  <c r="O378" i="1"/>
  <c r="N378" i="1"/>
  <c r="K378" i="1"/>
  <c r="N377" i="1"/>
  <c r="O377" i="1" s="1"/>
  <c r="K377" i="1"/>
  <c r="O376" i="1"/>
  <c r="N376" i="1"/>
  <c r="K376" i="1"/>
  <c r="N375" i="1"/>
  <c r="O375" i="1" s="1"/>
  <c r="K375" i="1"/>
  <c r="O374" i="1"/>
  <c r="N374" i="1"/>
  <c r="K374" i="1"/>
  <c r="N373" i="1"/>
  <c r="O373" i="1" s="1"/>
  <c r="K373" i="1"/>
  <c r="O372" i="1"/>
  <c r="N372" i="1"/>
  <c r="K372" i="1"/>
  <c r="N371" i="1"/>
  <c r="O371" i="1" s="1"/>
  <c r="K371" i="1"/>
  <c r="O370" i="1"/>
  <c r="N370" i="1"/>
  <c r="K370" i="1"/>
  <c r="N369" i="1"/>
  <c r="O369" i="1" s="1"/>
  <c r="K369" i="1"/>
  <c r="N368" i="1"/>
  <c r="O368" i="1" s="1"/>
  <c r="K368" i="1"/>
  <c r="N367" i="1"/>
  <c r="O367" i="1" s="1"/>
  <c r="K367" i="1"/>
  <c r="N366" i="1"/>
  <c r="O366" i="1" s="1"/>
  <c r="K366" i="1"/>
  <c r="N365" i="1"/>
  <c r="O365" i="1" s="1"/>
  <c r="K365" i="1"/>
  <c r="O364" i="1"/>
  <c r="N364" i="1"/>
  <c r="K364" i="1"/>
  <c r="N363" i="1"/>
  <c r="O363" i="1" s="1"/>
  <c r="K363" i="1"/>
  <c r="N362" i="1"/>
  <c r="O362" i="1" s="1"/>
  <c r="K362" i="1"/>
  <c r="N361" i="1"/>
  <c r="O361" i="1" s="1"/>
  <c r="K361" i="1"/>
  <c r="N360" i="1"/>
  <c r="O360" i="1" s="1"/>
  <c r="K360" i="1"/>
  <c r="N359" i="1"/>
  <c r="O359" i="1" s="1"/>
  <c r="K359" i="1"/>
  <c r="N358" i="1"/>
  <c r="O358" i="1" s="1"/>
  <c r="K358" i="1"/>
  <c r="N357" i="1"/>
  <c r="O357" i="1" s="1"/>
  <c r="K357" i="1"/>
  <c r="O356" i="1"/>
  <c r="N356" i="1"/>
  <c r="K356" i="1"/>
  <c r="N355" i="1"/>
  <c r="O355" i="1" s="1"/>
  <c r="K355" i="1"/>
  <c r="N354" i="1"/>
  <c r="O354" i="1" s="1"/>
  <c r="K354" i="1"/>
  <c r="N353" i="1"/>
  <c r="O353" i="1" s="1"/>
  <c r="K353" i="1"/>
  <c r="N352" i="1"/>
  <c r="O352" i="1" s="1"/>
  <c r="K352" i="1"/>
  <c r="N351" i="1"/>
  <c r="K351" i="1"/>
  <c r="N350" i="1"/>
  <c r="O350" i="1" s="1"/>
  <c r="K350" i="1"/>
  <c r="K349" i="1"/>
  <c r="N349" i="1" s="1"/>
  <c r="O349" i="1" s="1"/>
  <c r="K348" i="1"/>
  <c r="N348" i="1" s="1"/>
  <c r="O348" i="1" s="1"/>
  <c r="N347" i="1"/>
  <c r="O347" i="1" s="1"/>
  <c r="K347" i="1"/>
  <c r="N346" i="1"/>
  <c r="O346" i="1" s="1"/>
  <c r="K346" i="1"/>
  <c r="K345" i="1"/>
  <c r="N345" i="1" s="1"/>
  <c r="O345" i="1" s="1"/>
  <c r="K344" i="1"/>
  <c r="N344" i="1" s="1"/>
  <c r="O344" i="1" s="1"/>
  <c r="N343" i="1"/>
  <c r="O343" i="1" s="1"/>
  <c r="K343" i="1"/>
  <c r="N342" i="1"/>
  <c r="O342" i="1" s="1"/>
  <c r="K342" i="1"/>
  <c r="K341" i="1"/>
  <c r="N341" i="1" s="1"/>
  <c r="O341" i="1" s="1"/>
  <c r="K340" i="1"/>
  <c r="N340" i="1" s="1"/>
  <c r="O340" i="1" s="1"/>
  <c r="N339" i="1"/>
  <c r="O339" i="1" s="1"/>
  <c r="K339" i="1"/>
  <c r="N338" i="1"/>
  <c r="O338" i="1" s="1"/>
  <c r="K338" i="1"/>
  <c r="K337" i="1"/>
  <c r="N337" i="1" s="1"/>
  <c r="O337" i="1" s="1"/>
  <c r="K336" i="1"/>
  <c r="N336" i="1" s="1"/>
  <c r="O336" i="1" s="1"/>
  <c r="N335" i="1"/>
  <c r="O335" i="1" s="1"/>
  <c r="K335" i="1"/>
  <c r="N334" i="1"/>
  <c r="O334" i="1" s="1"/>
  <c r="K334" i="1"/>
  <c r="K333" i="1"/>
  <c r="N333" i="1" s="1"/>
  <c r="O333" i="1" s="1"/>
  <c r="K332" i="1"/>
  <c r="N332" i="1" s="1"/>
  <c r="O332" i="1" s="1"/>
  <c r="N331" i="1"/>
  <c r="O331" i="1" s="1"/>
  <c r="K331" i="1"/>
  <c r="N330" i="1"/>
  <c r="O330" i="1" s="1"/>
  <c r="K330" i="1"/>
  <c r="K329" i="1"/>
  <c r="N329" i="1" s="1"/>
  <c r="O329" i="1" s="1"/>
  <c r="K328" i="1"/>
  <c r="N328" i="1" s="1"/>
  <c r="O328" i="1" s="1"/>
  <c r="N327" i="1"/>
  <c r="O327" i="1" s="1"/>
  <c r="K327" i="1"/>
  <c r="N326" i="1"/>
  <c r="O326" i="1" s="1"/>
  <c r="K326" i="1"/>
  <c r="K325" i="1"/>
  <c r="N325" i="1" s="1"/>
  <c r="O325" i="1" s="1"/>
  <c r="K324" i="1"/>
  <c r="N324" i="1" s="1"/>
  <c r="O324" i="1" s="1"/>
  <c r="N323" i="1"/>
  <c r="O323" i="1" s="1"/>
  <c r="K323" i="1"/>
  <c r="N322" i="1"/>
  <c r="O322" i="1" s="1"/>
  <c r="K322" i="1"/>
  <c r="K321" i="1"/>
  <c r="N321" i="1" s="1"/>
  <c r="O321" i="1" s="1"/>
  <c r="K320" i="1"/>
  <c r="N320" i="1" s="1"/>
  <c r="O320" i="1" s="1"/>
  <c r="N319" i="1"/>
  <c r="O319" i="1" s="1"/>
  <c r="K319" i="1"/>
  <c r="N318" i="1"/>
  <c r="O318" i="1" s="1"/>
  <c r="K318" i="1"/>
  <c r="K317" i="1"/>
  <c r="N317" i="1" s="1"/>
  <c r="O317" i="1" s="1"/>
  <c r="K316" i="1"/>
  <c r="N316" i="1" s="1"/>
  <c r="O316" i="1" s="1"/>
  <c r="N315" i="1"/>
  <c r="O315" i="1" s="1"/>
  <c r="K315" i="1"/>
  <c r="N314" i="1"/>
  <c r="O314" i="1" s="1"/>
  <c r="K314" i="1"/>
  <c r="K313" i="1"/>
  <c r="N313" i="1" s="1"/>
  <c r="O313" i="1" s="1"/>
  <c r="K312" i="1"/>
  <c r="N312" i="1" s="1"/>
  <c r="O312" i="1" s="1"/>
  <c r="N311" i="1"/>
  <c r="O311" i="1" s="1"/>
  <c r="K311" i="1"/>
  <c r="N310" i="1"/>
  <c r="O310" i="1" s="1"/>
  <c r="K310" i="1"/>
  <c r="K309" i="1"/>
  <c r="N309" i="1" s="1"/>
  <c r="O309" i="1" s="1"/>
  <c r="K308" i="1"/>
  <c r="N308" i="1" s="1"/>
  <c r="O308" i="1" s="1"/>
  <c r="N307" i="1"/>
  <c r="O307" i="1" s="1"/>
  <c r="K307" i="1"/>
  <c r="N306" i="1"/>
  <c r="O306" i="1" s="1"/>
  <c r="K306" i="1"/>
  <c r="K305" i="1"/>
  <c r="N305" i="1" s="1"/>
  <c r="O305" i="1" s="1"/>
  <c r="K304" i="1"/>
  <c r="N304" i="1" s="1"/>
  <c r="O304" i="1" s="1"/>
  <c r="N303" i="1"/>
  <c r="O303" i="1" s="1"/>
  <c r="K303" i="1"/>
  <c r="N302" i="1"/>
  <c r="O302" i="1" s="1"/>
  <c r="K302" i="1"/>
  <c r="K301" i="1"/>
  <c r="N301" i="1" s="1"/>
  <c r="O301" i="1" s="1"/>
  <c r="K300" i="1"/>
  <c r="N300" i="1" s="1"/>
  <c r="O300" i="1" s="1"/>
  <c r="N299" i="1"/>
  <c r="O299" i="1" s="1"/>
  <c r="K299" i="1"/>
  <c r="N298" i="1"/>
  <c r="O298" i="1" s="1"/>
  <c r="K298" i="1"/>
  <c r="K297" i="1"/>
  <c r="N297" i="1" s="1"/>
  <c r="O297" i="1" s="1"/>
  <c r="K296" i="1"/>
  <c r="N296" i="1" s="1"/>
  <c r="O296" i="1" s="1"/>
  <c r="N295" i="1"/>
  <c r="O295" i="1" s="1"/>
  <c r="K295" i="1"/>
  <c r="N294" i="1"/>
  <c r="O294" i="1" s="1"/>
  <c r="K294" i="1"/>
  <c r="K293" i="1"/>
  <c r="N293" i="1" s="1"/>
  <c r="O293" i="1" s="1"/>
  <c r="K292" i="1"/>
  <c r="N292" i="1" s="1"/>
  <c r="O292" i="1" s="1"/>
  <c r="N291" i="1"/>
  <c r="O291" i="1" s="1"/>
  <c r="K291" i="1"/>
  <c r="N290" i="1"/>
  <c r="O290" i="1" s="1"/>
  <c r="K290" i="1"/>
  <c r="K289" i="1"/>
  <c r="N289" i="1" s="1"/>
  <c r="O289" i="1" s="1"/>
  <c r="K288" i="1"/>
  <c r="N288" i="1" s="1"/>
  <c r="O288" i="1" s="1"/>
  <c r="N287" i="1"/>
  <c r="O287" i="1" s="1"/>
  <c r="K287" i="1"/>
  <c r="N286" i="1"/>
  <c r="O286" i="1" s="1"/>
  <c r="K286" i="1"/>
  <c r="N285" i="1"/>
  <c r="O285" i="1" s="1"/>
  <c r="K285" i="1"/>
  <c r="N284" i="1"/>
  <c r="O284" i="1" s="1"/>
  <c r="K284" i="1"/>
  <c r="N283" i="1"/>
  <c r="O283" i="1" s="1"/>
  <c r="K283" i="1"/>
  <c r="N282" i="1"/>
  <c r="O282" i="1" s="1"/>
  <c r="K282" i="1"/>
  <c r="N281" i="1"/>
  <c r="O281" i="1" s="1"/>
  <c r="K281" i="1"/>
  <c r="N280" i="1"/>
  <c r="O280" i="1" s="1"/>
  <c r="K280" i="1"/>
  <c r="N279" i="1"/>
  <c r="O279" i="1" s="1"/>
  <c r="K279" i="1"/>
  <c r="N278" i="1"/>
  <c r="O278" i="1" s="1"/>
  <c r="K278" i="1"/>
  <c r="N277" i="1"/>
  <c r="O277" i="1" s="1"/>
  <c r="K277" i="1"/>
  <c r="N276" i="1"/>
  <c r="O276" i="1" s="1"/>
  <c r="K276" i="1"/>
  <c r="N275" i="1"/>
  <c r="O275" i="1" s="1"/>
  <c r="K275" i="1"/>
  <c r="N274" i="1"/>
  <c r="O274" i="1" s="1"/>
  <c r="K274" i="1"/>
  <c r="N273" i="1"/>
  <c r="O273" i="1" s="1"/>
  <c r="K273" i="1"/>
  <c r="N272" i="1"/>
  <c r="O272" i="1" s="1"/>
  <c r="K272" i="1"/>
  <c r="N271" i="1"/>
  <c r="O271" i="1" s="1"/>
  <c r="K271" i="1"/>
  <c r="N270" i="1"/>
  <c r="O270" i="1" s="1"/>
  <c r="K270" i="1"/>
  <c r="N269" i="1"/>
  <c r="O269" i="1" s="1"/>
  <c r="K269" i="1"/>
  <c r="N268" i="1"/>
  <c r="O268" i="1" s="1"/>
  <c r="K268" i="1"/>
  <c r="N267" i="1"/>
  <c r="O267" i="1" s="1"/>
  <c r="K267" i="1"/>
  <c r="N266" i="1"/>
  <c r="O266" i="1" s="1"/>
  <c r="K266" i="1"/>
  <c r="N265" i="1"/>
  <c r="O265" i="1" s="1"/>
  <c r="K265" i="1"/>
  <c r="N264" i="1"/>
  <c r="O264" i="1" s="1"/>
  <c r="K264" i="1"/>
  <c r="N263" i="1"/>
  <c r="O263" i="1" s="1"/>
  <c r="K263" i="1"/>
  <c r="N262" i="1"/>
  <c r="O262" i="1" s="1"/>
  <c r="K262" i="1"/>
  <c r="N261" i="1"/>
  <c r="O261" i="1" s="1"/>
  <c r="K261" i="1"/>
  <c r="N260" i="1"/>
  <c r="O260" i="1" s="1"/>
  <c r="K260" i="1"/>
  <c r="N259" i="1"/>
  <c r="O259" i="1" s="1"/>
  <c r="K259" i="1"/>
  <c r="N258" i="1"/>
  <c r="O258" i="1" s="1"/>
  <c r="K258" i="1"/>
  <c r="N257" i="1"/>
  <c r="O257" i="1" s="1"/>
  <c r="K257" i="1"/>
  <c r="N256" i="1"/>
  <c r="O256" i="1" s="1"/>
  <c r="K256" i="1"/>
  <c r="N255" i="1"/>
  <c r="O255" i="1" s="1"/>
  <c r="K255" i="1"/>
  <c r="N254" i="1"/>
  <c r="O254" i="1" s="1"/>
  <c r="K254" i="1"/>
  <c r="N253" i="1"/>
  <c r="O253" i="1" s="1"/>
  <c r="K253" i="1"/>
  <c r="N252" i="1"/>
  <c r="O252" i="1" s="1"/>
  <c r="K252" i="1"/>
  <c r="N251" i="1"/>
  <c r="O251" i="1" s="1"/>
  <c r="K251" i="1"/>
  <c r="N250" i="1"/>
  <c r="O250" i="1" s="1"/>
  <c r="K250" i="1"/>
  <c r="N249" i="1"/>
  <c r="O249" i="1" s="1"/>
  <c r="K249" i="1"/>
  <c r="N248" i="1"/>
  <c r="O248" i="1" s="1"/>
  <c r="K248" i="1"/>
  <c r="N247" i="1"/>
  <c r="O247" i="1" s="1"/>
  <c r="K247" i="1"/>
  <c r="N246" i="1"/>
  <c r="O246" i="1" s="1"/>
  <c r="K246" i="1"/>
  <c r="N245" i="1"/>
  <c r="O245" i="1" s="1"/>
  <c r="K245" i="1"/>
  <c r="N244" i="1"/>
  <c r="O244" i="1" s="1"/>
  <c r="K244" i="1"/>
  <c r="N243" i="1"/>
  <c r="O243" i="1" s="1"/>
  <c r="K243" i="1"/>
  <c r="N242" i="1"/>
  <c r="O242" i="1" s="1"/>
  <c r="K242" i="1"/>
  <c r="N241" i="1"/>
  <c r="O241" i="1" s="1"/>
  <c r="K241" i="1"/>
  <c r="N240" i="1"/>
  <c r="O240" i="1" s="1"/>
  <c r="K240" i="1"/>
  <c r="N239" i="1"/>
  <c r="O239" i="1" s="1"/>
  <c r="K239" i="1"/>
  <c r="N238" i="1"/>
  <c r="O238" i="1" s="1"/>
  <c r="K238" i="1"/>
  <c r="N237" i="1"/>
  <c r="O237" i="1" s="1"/>
  <c r="K237" i="1"/>
  <c r="N236" i="1"/>
  <c r="O236" i="1" s="1"/>
  <c r="K236" i="1"/>
  <c r="N235" i="1"/>
  <c r="O235" i="1" s="1"/>
  <c r="K235" i="1"/>
  <c r="N234" i="1"/>
  <c r="O234" i="1" s="1"/>
  <c r="K234" i="1"/>
  <c r="N233" i="1"/>
  <c r="O233" i="1" s="1"/>
  <c r="K233" i="1"/>
  <c r="N232" i="1"/>
  <c r="O232" i="1" s="1"/>
  <c r="K232" i="1"/>
  <c r="N231" i="1"/>
  <c r="O231" i="1" s="1"/>
  <c r="K231" i="1"/>
  <c r="N230" i="1"/>
  <c r="O230" i="1" s="1"/>
  <c r="K230" i="1"/>
  <c r="O229" i="1"/>
  <c r="N229" i="1"/>
  <c r="K229" i="1"/>
  <c r="N228" i="1"/>
  <c r="O228" i="1" s="1"/>
  <c r="K228" i="1"/>
  <c r="O227" i="1"/>
  <c r="N227" i="1"/>
  <c r="K227" i="1"/>
  <c r="N226" i="1"/>
  <c r="O226" i="1" s="1"/>
  <c r="K226" i="1"/>
  <c r="N225" i="1"/>
  <c r="O225" i="1" s="1"/>
  <c r="K225" i="1"/>
  <c r="O224" i="1"/>
  <c r="N224" i="1"/>
  <c r="K224" i="1"/>
  <c r="N223" i="1"/>
  <c r="O223" i="1" s="1"/>
  <c r="K223" i="1"/>
  <c r="N222" i="1"/>
  <c r="O222" i="1" s="1"/>
  <c r="K222" i="1"/>
  <c r="N221" i="1"/>
  <c r="O221" i="1" s="1"/>
  <c r="K221" i="1"/>
  <c r="O220" i="1"/>
  <c r="N220" i="1"/>
  <c r="K220" i="1"/>
  <c r="N219" i="1"/>
  <c r="O219" i="1" s="1"/>
  <c r="K219" i="1"/>
  <c r="N218" i="1"/>
  <c r="O218" i="1" s="1"/>
  <c r="K218" i="1"/>
  <c r="N217" i="1"/>
  <c r="O217" i="1" s="1"/>
  <c r="K217" i="1"/>
  <c r="O216" i="1"/>
  <c r="N216" i="1"/>
  <c r="K216" i="1"/>
  <c r="N215" i="1"/>
  <c r="O215" i="1" s="1"/>
  <c r="K215" i="1"/>
  <c r="N214" i="1"/>
  <c r="O214" i="1" s="1"/>
  <c r="K214" i="1"/>
  <c r="N213" i="1"/>
  <c r="O213" i="1" s="1"/>
  <c r="K213" i="1"/>
  <c r="O212" i="1"/>
  <c r="N212" i="1"/>
  <c r="K212" i="1"/>
  <c r="N211" i="1"/>
  <c r="O211" i="1" s="1"/>
  <c r="K211" i="1"/>
  <c r="N210" i="1"/>
  <c r="O210" i="1" s="1"/>
  <c r="K210" i="1"/>
  <c r="N209" i="1"/>
  <c r="O209" i="1" s="1"/>
  <c r="K209" i="1"/>
  <c r="O208" i="1"/>
  <c r="N208" i="1"/>
  <c r="K208" i="1"/>
  <c r="N207" i="1"/>
  <c r="O207" i="1" s="1"/>
  <c r="K207" i="1"/>
  <c r="N206" i="1"/>
  <c r="O206" i="1" s="1"/>
  <c r="K206" i="1"/>
  <c r="N205" i="1"/>
  <c r="O205" i="1" s="1"/>
  <c r="K205" i="1"/>
  <c r="O204" i="1"/>
  <c r="N204" i="1"/>
  <c r="K204" i="1"/>
  <c r="N203" i="1"/>
  <c r="O203" i="1" s="1"/>
  <c r="K203" i="1"/>
  <c r="N202" i="1"/>
  <c r="O202" i="1" s="1"/>
  <c r="K202" i="1"/>
  <c r="N201" i="1"/>
  <c r="O201" i="1" s="1"/>
  <c r="K201" i="1"/>
  <c r="O200" i="1"/>
  <c r="N200" i="1"/>
  <c r="K200" i="1"/>
  <c r="N199" i="1"/>
  <c r="O199" i="1" s="1"/>
  <c r="K199" i="1"/>
  <c r="N198" i="1"/>
  <c r="O198" i="1" s="1"/>
  <c r="K198" i="1"/>
  <c r="N197" i="1"/>
  <c r="O197" i="1" s="1"/>
  <c r="K197" i="1"/>
  <c r="O196" i="1"/>
  <c r="N196" i="1"/>
  <c r="K196" i="1"/>
  <c r="N195" i="1"/>
  <c r="O195" i="1" s="1"/>
  <c r="K195" i="1"/>
  <c r="N194" i="1"/>
  <c r="O194" i="1" s="1"/>
  <c r="K194" i="1"/>
  <c r="N193" i="1"/>
  <c r="O193" i="1" s="1"/>
  <c r="K193" i="1"/>
  <c r="O192" i="1"/>
  <c r="N192" i="1"/>
  <c r="K192" i="1"/>
  <c r="N191" i="1"/>
  <c r="O191" i="1" s="1"/>
  <c r="K191" i="1"/>
  <c r="N190" i="1"/>
  <c r="O190" i="1" s="1"/>
  <c r="K190" i="1"/>
  <c r="N189" i="1"/>
  <c r="O189" i="1" s="1"/>
  <c r="K189" i="1"/>
  <c r="O188" i="1"/>
  <c r="N188" i="1"/>
  <c r="K188" i="1"/>
  <c r="N187" i="1"/>
  <c r="O187" i="1" s="1"/>
  <c r="K187" i="1"/>
  <c r="N186" i="1"/>
  <c r="O186" i="1" s="1"/>
  <c r="K186" i="1"/>
  <c r="N185" i="1"/>
  <c r="O185" i="1" s="1"/>
  <c r="K185" i="1"/>
  <c r="O184" i="1"/>
  <c r="N184" i="1"/>
  <c r="K184" i="1"/>
  <c r="N183" i="1"/>
  <c r="O183" i="1" s="1"/>
  <c r="K183" i="1"/>
  <c r="N182" i="1"/>
  <c r="O182" i="1" s="1"/>
  <c r="K182" i="1"/>
  <c r="N181" i="1"/>
  <c r="O181" i="1" s="1"/>
  <c r="K181" i="1"/>
  <c r="O180" i="1"/>
  <c r="N180" i="1"/>
  <c r="K180" i="1"/>
  <c r="N179" i="1"/>
  <c r="O179" i="1" s="1"/>
  <c r="K179" i="1"/>
  <c r="N178" i="1"/>
  <c r="O178" i="1" s="1"/>
  <c r="K178" i="1"/>
  <c r="N177" i="1"/>
  <c r="O177" i="1" s="1"/>
  <c r="K177" i="1"/>
  <c r="O176" i="1"/>
  <c r="N176" i="1"/>
  <c r="K176" i="1"/>
  <c r="N175" i="1"/>
  <c r="O175" i="1" s="1"/>
  <c r="K175" i="1"/>
  <c r="N174" i="1"/>
  <c r="O174" i="1" s="1"/>
  <c r="K174" i="1"/>
  <c r="N173" i="1"/>
  <c r="O173" i="1" s="1"/>
  <c r="K173" i="1"/>
  <c r="O172" i="1"/>
  <c r="N172" i="1"/>
  <c r="K172" i="1"/>
  <c r="N171" i="1"/>
  <c r="O171" i="1" s="1"/>
  <c r="K171" i="1"/>
  <c r="N170" i="1"/>
  <c r="O170" i="1" s="1"/>
  <c r="K170" i="1"/>
  <c r="N169" i="1"/>
  <c r="O169" i="1" s="1"/>
  <c r="K169" i="1"/>
  <c r="O168" i="1"/>
  <c r="N168" i="1"/>
  <c r="K168" i="1"/>
  <c r="N167" i="1"/>
  <c r="O167" i="1" s="1"/>
  <c r="K167" i="1"/>
  <c r="N166" i="1"/>
  <c r="O166" i="1" s="1"/>
  <c r="K166" i="1"/>
  <c r="N165" i="1"/>
  <c r="O165" i="1" s="1"/>
  <c r="K165" i="1"/>
  <c r="O164" i="1"/>
  <c r="N164" i="1"/>
  <c r="K164" i="1"/>
  <c r="N163" i="1"/>
  <c r="O163" i="1" s="1"/>
  <c r="K163" i="1"/>
  <c r="N162" i="1"/>
  <c r="O162" i="1" s="1"/>
  <c r="K162" i="1"/>
  <c r="N161" i="1"/>
  <c r="O161" i="1" s="1"/>
  <c r="K161" i="1"/>
  <c r="O160" i="1"/>
  <c r="N160" i="1"/>
  <c r="K160" i="1"/>
  <c r="N159" i="1"/>
  <c r="O159" i="1" s="1"/>
  <c r="K159" i="1"/>
  <c r="N158" i="1"/>
  <c r="O158" i="1" s="1"/>
  <c r="K158" i="1"/>
  <c r="N157" i="1"/>
  <c r="O157" i="1" s="1"/>
  <c r="K157" i="1"/>
  <c r="O156" i="1"/>
  <c r="N156" i="1"/>
  <c r="K156" i="1"/>
  <c r="N155" i="1"/>
  <c r="O155" i="1" s="1"/>
  <c r="K155" i="1"/>
  <c r="N154" i="1"/>
  <c r="O154" i="1" s="1"/>
  <c r="K154" i="1"/>
  <c r="N153" i="1"/>
  <c r="O153" i="1" s="1"/>
  <c r="K153" i="1"/>
  <c r="O152" i="1"/>
  <c r="N152" i="1"/>
  <c r="K152" i="1"/>
  <c r="N151" i="1"/>
  <c r="O151" i="1" s="1"/>
  <c r="K151" i="1"/>
  <c r="N150" i="1"/>
  <c r="O150" i="1" s="1"/>
  <c r="K150" i="1"/>
  <c r="N149" i="1"/>
  <c r="O149" i="1" s="1"/>
  <c r="K149" i="1"/>
  <c r="O148" i="1"/>
  <c r="N148" i="1"/>
  <c r="K148" i="1"/>
  <c r="N147" i="1"/>
  <c r="O147" i="1" s="1"/>
  <c r="K147" i="1"/>
  <c r="N146" i="1"/>
  <c r="O146" i="1" s="1"/>
  <c r="K146" i="1"/>
  <c r="N145" i="1"/>
  <c r="O145" i="1" s="1"/>
  <c r="K145" i="1"/>
  <c r="O144" i="1"/>
  <c r="N144" i="1"/>
  <c r="K144" i="1"/>
  <c r="N143" i="1"/>
  <c r="O143" i="1" s="1"/>
  <c r="K143" i="1"/>
  <c r="N142" i="1"/>
  <c r="O142" i="1" s="1"/>
  <c r="K142" i="1"/>
  <c r="N141" i="1"/>
  <c r="O141" i="1" s="1"/>
  <c r="K141" i="1"/>
  <c r="O140" i="1"/>
  <c r="N140" i="1"/>
  <c r="K140" i="1"/>
  <c r="N139" i="1"/>
  <c r="O139" i="1" s="1"/>
  <c r="K139" i="1"/>
  <c r="N138" i="1"/>
  <c r="O138" i="1" s="1"/>
  <c r="K138" i="1"/>
  <c r="N137" i="1"/>
  <c r="O137" i="1" s="1"/>
  <c r="K137" i="1"/>
  <c r="O136" i="1"/>
  <c r="N136" i="1"/>
  <c r="K136" i="1"/>
  <c r="N135" i="1"/>
  <c r="O135" i="1" s="1"/>
  <c r="K135" i="1"/>
  <c r="N134" i="1"/>
  <c r="O134" i="1" s="1"/>
  <c r="K134" i="1"/>
  <c r="N133" i="1"/>
  <c r="O133" i="1" s="1"/>
  <c r="K133" i="1"/>
  <c r="O132" i="1"/>
  <c r="N132" i="1"/>
  <c r="K132" i="1"/>
  <c r="N131" i="1"/>
  <c r="O131" i="1" s="1"/>
  <c r="K131" i="1"/>
  <c r="N130" i="1"/>
  <c r="O130" i="1" s="1"/>
  <c r="K130" i="1"/>
  <c r="N129" i="1"/>
  <c r="O129" i="1" s="1"/>
  <c r="K129" i="1"/>
  <c r="O128" i="1"/>
  <c r="N128" i="1"/>
  <c r="K128" i="1"/>
  <c r="N127" i="1"/>
  <c r="O127" i="1" s="1"/>
  <c r="K127" i="1"/>
  <c r="N126" i="1"/>
  <c r="O126" i="1" s="1"/>
  <c r="K126" i="1"/>
  <c r="N125" i="1"/>
  <c r="O125" i="1" s="1"/>
  <c r="K125" i="1"/>
  <c r="O124" i="1"/>
  <c r="N124" i="1"/>
  <c r="K124" i="1"/>
  <c r="N123" i="1"/>
  <c r="O123" i="1" s="1"/>
  <c r="K123" i="1"/>
  <c r="N122" i="1"/>
  <c r="O122" i="1" s="1"/>
  <c r="K122" i="1"/>
  <c r="N121" i="1"/>
  <c r="O121" i="1" s="1"/>
  <c r="K121" i="1"/>
  <c r="O120" i="1"/>
  <c r="N120" i="1"/>
  <c r="K120" i="1"/>
  <c r="N119" i="1"/>
  <c r="O119" i="1" s="1"/>
  <c r="K119" i="1"/>
  <c r="N118" i="1"/>
  <c r="O118" i="1" s="1"/>
  <c r="K118" i="1"/>
  <c r="N117" i="1"/>
  <c r="O117" i="1" s="1"/>
  <c r="K117" i="1"/>
  <c r="O116" i="1"/>
  <c r="N116" i="1"/>
  <c r="K116" i="1"/>
  <c r="N115" i="1"/>
  <c r="O115" i="1" s="1"/>
  <c r="K115" i="1"/>
  <c r="N114" i="1"/>
  <c r="O114" i="1" s="1"/>
  <c r="K114" i="1"/>
  <c r="N113" i="1"/>
  <c r="O113" i="1" s="1"/>
  <c r="K113" i="1"/>
  <c r="O112" i="1"/>
  <c r="N112" i="1"/>
  <c r="K112" i="1"/>
  <c r="N111" i="1"/>
  <c r="O111" i="1" s="1"/>
  <c r="K111" i="1"/>
  <c r="N110" i="1"/>
  <c r="O110" i="1" s="1"/>
  <c r="K110" i="1"/>
  <c r="N109" i="1"/>
  <c r="O109" i="1" s="1"/>
  <c r="K109" i="1"/>
  <c r="O108" i="1"/>
  <c r="N108" i="1"/>
  <c r="K108" i="1"/>
  <c r="N107" i="1"/>
  <c r="O107" i="1" s="1"/>
  <c r="K107" i="1"/>
  <c r="N106" i="1"/>
  <c r="O106" i="1" s="1"/>
  <c r="K106" i="1"/>
  <c r="N105" i="1"/>
  <c r="O105" i="1" s="1"/>
  <c r="K105" i="1"/>
  <c r="O104" i="1"/>
  <c r="N104" i="1"/>
  <c r="K104" i="1"/>
  <c r="N103" i="1"/>
  <c r="O103" i="1" s="1"/>
  <c r="K103" i="1"/>
  <c r="N102" i="1"/>
  <c r="O102" i="1" s="1"/>
  <c r="K102" i="1"/>
  <c r="N101" i="1"/>
  <c r="O101" i="1" s="1"/>
  <c r="K101" i="1"/>
  <c r="O100" i="1"/>
  <c r="N100" i="1"/>
  <c r="K100" i="1"/>
  <c r="N99" i="1"/>
  <c r="O99" i="1" s="1"/>
  <c r="K99" i="1"/>
  <c r="N98" i="1"/>
  <c r="O98" i="1" s="1"/>
  <c r="K98" i="1"/>
  <c r="N97" i="1"/>
  <c r="O97" i="1" s="1"/>
  <c r="K97" i="1"/>
  <c r="O96" i="1"/>
  <c r="N96" i="1"/>
  <c r="K96" i="1"/>
  <c r="N95" i="1"/>
  <c r="O95" i="1" s="1"/>
  <c r="K95" i="1"/>
  <c r="N94" i="1"/>
  <c r="O94" i="1" s="1"/>
  <c r="K94" i="1"/>
  <c r="N93" i="1"/>
  <c r="O93" i="1" s="1"/>
  <c r="K93" i="1"/>
  <c r="O92" i="1"/>
  <c r="N92" i="1"/>
  <c r="K92" i="1"/>
  <c r="N91" i="1"/>
  <c r="O91" i="1" s="1"/>
  <c r="K91" i="1"/>
  <c r="N90" i="1"/>
  <c r="O90" i="1" s="1"/>
  <c r="K90" i="1"/>
  <c r="N89" i="1"/>
  <c r="O89" i="1" s="1"/>
  <c r="K89" i="1"/>
  <c r="O88" i="1"/>
  <c r="N88" i="1"/>
  <c r="K88" i="1"/>
  <c r="N87" i="1"/>
  <c r="O87" i="1" s="1"/>
  <c r="K87" i="1"/>
  <c r="N86" i="1"/>
  <c r="O86" i="1" s="1"/>
  <c r="K86" i="1"/>
  <c r="N85" i="1"/>
  <c r="O85" i="1" s="1"/>
  <c r="K85" i="1"/>
  <c r="O84" i="1"/>
  <c r="N84" i="1"/>
  <c r="K84" i="1"/>
  <c r="N83" i="1"/>
  <c r="O83" i="1" s="1"/>
  <c r="K83" i="1"/>
  <c r="N82" i="1"/>
  <c r="O82" i="1" s="1"/>
  <c r="K82" i="1"/>
  <c r="N81" i="1"/>
  <c r="O81" i="1" s="1"/>
  <c r="K81" i="1"/>
  <c r="O80" i="1"/>
  <c r="N80" i="1"/>
  <c r="K80" i="1"/>
  <c r="N79" i="1"/>
  <c r="O79" i="1" s="1"/>
  <c r="K79" i="1"/>
  <c r="N78" i="1"/>
  <c r="O78" i="1" s="1"/>
  <c r="K78" i="1"/>
  <c r="N77" i="1"/>
  <c r="O77" i="1" s="1"/>
  <c r="K77" i="1"/>
  <c r="O76" i="1"/>
  <c r="N76" i="1"/>
  <c r="K76" i="1"/>
  <c r="N75" i="1"/>
  <c r="O75" i="1" s="1"/>
  <c r="K75" i="1"/>
  <c r="N74" i="1"/>
  <c r="O74" i="1" s="1"/>
  <c r="K74" i="1"/>
  <c r="N73" i="1"/>
  <c r="O73" i="1" s="1"/>
  <c r="K73" i="1"/>
  <c r="O72" i="1"/>
  <c r="N72" i="1"/>
  <c r="K72" i="1"/>
  <c r="N71" i="1"/>
  <c r="O71" i="1" s="1"/>
  <c r="K71" i="1"/>
  <c r="N70" i="1"/>
  <c r="O70" i="1" s="1"/>
  <c r="K70" i="1"/>
  <c r="N69" i="1"/>
  <c r="O69" i="1" s="1"/>
  <c r="K69" i="1"/>
  <c r="O68" i="1"/>
  <c r="N68" i="1"/>
  <c r="K68" i="1"/>
  <c r="N67" i="1"/>
  <c r="O67" i="1" s="1"/>
  <c r="K67" i="1"/>
  <c r="N66" i="1"/>
  <c r="O66" i="1" s="1"/>
  <c r="K66" i="1"/>
  <c r="N65" i="1"/>
  <c r="O65" i="1" s="1"/>
  <c r="K65" i="1"/>
  <c r="O64" i="1"/>
  <c r="N64" i="1"/>
  <c r="K64" i="1"/>
  <c r="N63" i="1"/>
  <c r="O63" i="1" s="1"/>
  <c r="K63" i="1"/>
  <c r="N62" i="1"/>
  <c r="O62" i="1" s="1"/>
  <c r="K62" i="1"/>
  <c r="N61" i="1"/>
  <c r="O61" i="1" s="1"/>
  <c r="K61" i="1"/>
  <c r="O60" i="1"/>
  <c r="N60" i="1"/>
  <c r="K60" i="1"/>
  <c r="N59" i="1"/>
  <c r="O59" i="1" s="1"/>
  <c r="K59" i="1"/>
  <c r="N58" i="1"/>
  <c r="O58" i="1" s="1"/>
  <c r="K58" i="1"/>
  <c r="N57" i="1"/>
  <c r="O57" i="1" s="1"/>
  <c r="K57" i="1"/>
  <c r="O56" i="1"/>
  <c r="N56" i="1"/>
  <c r="K56" i="1"/>
  <c r="N55" i="1"/>
  <c r="O55" i="1" s="1"/>
  <c r="K55" i="1"/>
  <c r="O54" i="1"/>
  <c r="N54" i="1"/>
  <c r="K54" i="1"/>
  <c r="N53" i="1"/>
  <c r="O53" i="1" s="1"/>
  <c r="K53" i="1"/>
  <c r="O52" i="1"/>
  <c r="N52" i="1"/>
  <c r="K52" i="1"/>
  <c r="N51" i="1"/>
  <c r="O51" i="1" s="1"/>
  <c r="K51" i="1"/>
  <c r="O50" i="1"/>
  <c r="N50" i="1"/>
  <c r="K50" i="1"/>
  <c r="N49" i="1"/>
  <c r="O49" i="1" s="1"/>
  <c r="K49" i="1"/>
  <c r="O48" i="1"/>
  <c r="N48" i="1"/>
  <c r="K48" i="1"/>
  <c r="N47" i="1"/>
  <c r="O47" i="1" s="1"/>
  <c r="K47" i="1"/>
  <c r="O46" i="1"/>
  <c r="N46" i="1"/>
  <c r="K46" i="1"/>
  <c r="N45" i="1"/>
  <c r="O45" i="1" s="1"/>
  <c r="K45" i="1"/>
  <c r="O44" i="1"/>
  <c r="N44" i="1"/>
  <c r="K44" i="1"/>
  <c r="N43" i="1"/>
  <c r="O43" i="1" s="1"/>
  <c r="K43" i="1"/>
  <c r="O42" i="1"/>
  <c r="N42" i="1"/>
  <c r="K42" i="1"/>
  <c r="N41" i="1"/>
  <c r="O41" i="1" s="1"/>
  <c r="K41" i="1"/>
  <c r="O40" i="1"/>
  <c r="N40" i="1"/>
  <c r="K40" i="1"/>
  <c r="N39" i="1"/>
  <c r="O39" i="1" s="1"/>
  <c r="K39" i="1"/>
  <c r="O38" i="1"/>
  <c r="N38" i="1"/>
  <c r="K38" i="1"/>
  <c r="N37" i="1"/>
  <c r="O37" i="1" s="1"/>
  <c r="K37" i="1"/>
  <c r="O36" i="1"/>
  <c r="N36" i="1"/>
  <c r="K36" i="1"/>
  <c r="N35" i="1"/>
  <c r="O35" i="1" s="1"/>
  <c r="K35" i="1"/>
  <c r="O34" i="1"/>
  <c r="N34" i="1"/>
  <c r="K34" i="1"/>
  <c r="N33" i="1"/>
  <c r="O33" i="1" s="1"/>
  <c r="K33" i="1"/>
  <c r="O32" i="1"/>
  <c r="N32" i="1"/>
  <c r="K32" i="1"/>
  <c r="N31" i="1"/>
  <c r="O31" i="1" s="1"/>
  <c r="K31" i="1"/>
  <c r="O30" i="1"/>
  <c r="N30" i="1"/>
  <c r="K30" i="1"/>
  <c r="N29" i="1"/>
  <c r="O29" i="1" s="1"/>
  <c r="K29" i="1"/>
  <c r="O28" i="1"/>
  <c r="N28" i="1"/>
  <c r="K28" i="1"/>
  <c r="N27" i="1"/>
  <c r="O27" i="1" s="1"/>
  <c r="K27" i="1"/>
  <c r="O26" i="1"/>
  <c r="N26" i="1"/>
  <c r="K26" i="1"/>
  <c r="N25" i="1"/>
  <c r="O25" i="1" s="1"/>
  <c r="K25" i="1"/>
  <c r="O24" i="1"/>
  <c r="N24" i="1"/>
  <c r="K24" i="1"/>
  <c r="N23" i="1"/>
  <c r="O23" i="1" s="1"/>
  <c r="K23" i="1"/>
  <c r="O22" i="1"/>
  <c r="N22" i="1"/>
  <c r="K22" i="1"/>
  <c r="N21" i="1"/>
  <c r="O21" i="1" s="1"/>
  <c r="K21" i="1"/>
  <c r="O20" i="1"/>
  <c r="N20" i="1"/>
  <c r="K20" i="1"/>
  <c r="N19" i="1"/>
  <c r="O19" i="1" s="1"/>
  <c r="K19" i="1"/>
  <c r="O18" i="1"/>
  <c r="N18" i="1"/>
  <c r="K18" i="1"/>
  <c r="N17" i="1"/>
  <c r="O17" i="1" s="1"/>
  <c r="K17" i="1"/>
  <c r="O16" i="1"/>
  <c r="N16" i="1"/>
  <c r="K16" i="1"/>
  <c r="N15" i="1"/>
  <c r="O15" i="1" s="1"/>
  <c r="K15" i="1"/>
  <c r="O14" i="1"/>
  <c r="N14" i="1"/>
  <c r="K14" i="1"/>
  <c r="N13" i="1"/>
  <c r="O13" i="1" s="1"/>
  <c r="K13" i="1"/>
  <c r="O12" i="1"/>
  <c r="N12" i="1"/>
  <c r="K12" i="1"/>
  <c r="N11" i="1"/>
  <c r="O11" i="1" s="1"/>
  <c r="K11" i="1"/>
  <c r="O10" i="1"/>
  <c r="N10" i="1"/>
  <c r="K10" i="1"/>
  <c r="N9" i="1"/>
  <c r="O9" i="1" s="1"/>
  <c r="K9" i="1"/>
  <c r="O8" i="1"/>
  <c r="N8" i="1"/>
  <c r="K8" i="1"/>
  <c r="N7" i="1"/>
  <c r="O7" i="1" s="1"/>
  <c r="K7" i="1"/>
  <c r="O6" i="1"/>
  <c r="N6" i="1"/>
  <c r="K6" i="1"/>
  <c r="N5" i="1"/>
  <c r="O5" i="1" s="1"/>
  <c r="K5" i="1"/>
  <c r="O4" i="1"/>
  <c r="N4" i="1"/>
  <c r="K4" i="1"/>
  <c r="N3" i="1"/>
  <c r="O3" i="1" s="1"/>
  <c r="K3" i="1"/>
  <c r="O391" i="1" l="1"/>
  <c r="M404" i="1"/>
  <c r="N404" i="1"/>
  <c r="O351" i="1"/>
  <c r="K404" i="1"/>
  <c r="K405" i="1" s="1"/>
  <c r="O404" i="1" l="1"/>
  <c r="M405" i="1" s="1"/>
</calcChain>
</file>

<file path=xl/sharedStrings.xml><?xml version="1.0" encoding="utf-8"?>
<sst xmlns="http://schemas.openxmlformats.org/spreadsheetml/2006/main" count="1232" uniqueCount="854">
  <si>
    <t>Thuế TNCN tháng 04/2026</t>
  </si>
  <si>
    <t>UNC135</t>
  </si>
  <si>
    <t xml:space="preserve">58QUY
</t>
  </si>
  <si>
    <t>UNC121 n</t>
  </si>
  <si>
    <t>UNC135 n</t>
  </si>
  <si>
    <t>UNC SỐ C</t>
  </si>
  <si>
    <t>17CTX/202</t>
  </si>
  <si>
    <t>21CTX/202</t>
  </si>
  <si>
    <t xml:space="preserve"> TT</t>
  </si>
  <si>
    <t>HỌ VÀ TÊN</t>
  </si>
  <si>
    <t>SỐ TK</t>
  </si>
  <si>
    <t>UNC135
Chuyển tiền hỗ trợ trực tiêm chủng thứ 7,CN tháng 2/2026
10/4/2026</t>
  </si>
  <si>
    <t>58QUY
Thanh toán hỗ trợ tiền lễ Giỗ tổ, 30/4&amp;01/5
 10/3/2026 ngày 23/04/2026</t>
  </si>
  <si>
    <t>UNC121 ngày 7/4/2026 tt tiền  giảng viên, người phục vụ lớp đào tạo</t>
  </si>
  <si>
    <t>UNC135 ngày 19/3/2026 tt  15% tiền công khai thác hợp đồng khám bệnh nghề nghiệp</t>
  </si>
  <si>
    <t>UNC SỐ CTG NQ 52/01; CTG NQ 52/02 CHI TIỀN NGHỊ QUYẾT 52</t>
  </si>
  <si>
    <t>17CTX/2026;  35CTG/2026; 37CTG ngày 09/4/2026 (lương T4 ); 45CTG/2026 ngày 24/4/2026; 34CTG/2026 ngày 06/4/2026</t>
  </si>
  <si>
    <t>CỘNG</t>
  </si>
  <si>
    <t>21CTX/2026; 40/2026; 41/2026 ngày 21/4/2026 (BHXH T4)</t>
  </si>
  <si>
    <t>GIẢM TRỪ GIA CẢNH</t>
  </si>
  <si>
    <t>THU NHẬP TÍNH THUẾ</t>
  </si>
  <si>
    <t>THUẾ TNCN PHẢI NỘP</t>
  </si>
  <si>
    <t>AIDS</t>
  </si>
  <si>
    <t>Bùi Ngọc Chương</t>
  </si>
  <si>
    <t>Bùi Thị Hàng Tơ</t>
  </si>
  <si>
    <t>KLN</t>
  </si>
  <si>
    <t>Bùi Thị Long Cảnh</t>
  </si>
  <si>
    <t>XN</t>
  </si>
  <si>
    <t>Bùi Thị Minh Hải</t>
  </si>
  <si>
    <t>5620994561</t>
  </si>
  <si>
    <t>Bùi Thị Tý</t>
  </si>
  <si>
    <t>KD</t>
  </si>
  <si>
    <t>Bùi Thức Thắng</t>
  </si>
  <si>
    <t>Bùi Trung Kiên</t>
  </si>
  <si>
    <t>BNN</t>
  </si>
  <si>
    <t>Bùi Vũ Minh Hoàng</t>
  </si>
  <si>
    <t>Cao Mai Phương</t>
  </si>
  <si>
    <t>Cao Minh Thông</t>
  </si>
  <si>
    <t>BTN</t>
  </si>
  <si>
    <t>Châu Thị Trinh Thoa</t>
  </si>
  <si>
    <t>YTTH</t>
  </si>
  <si>
    <t>Chu Việt Hùng</t>
  </si>
  <si>
    <t>KST</t>
  </si>
  <si>
    <t>Đàm Phạm Minh Khôi</t>
  </si>
  <si>
    <t>KH</t>
  </si>
  <si>
    <t>Đặng Ngọc Anh</t>
  </si>
  <si>
    <t>Đặng Phước Sanh</t>
  </si>
  <si>
    <t>Đặng Quang Anh</t>
  </si>
  <si>
    <t>Đặng Quang Ánh</t>
  </si>
  <si>
    <t>Đặng Quang Tuyến</t>
  </si>
  <si>
    <t>PK</t>
  </si>
  <si>
    <t>Đặng Thị Diệu My</t>
  </si>
  <si>
    <t>Đặng Thị Hường</t>
  </si>
  <si>
    <t>Đặng Thị Kim Nguyên</t>
  </si>
  <si>
    <t>Đặng Thị Mai Khôi</t>
  </si>
  <si>
    <t>SS</t>
  </si>
  <si>
    <t>Đặng Thị Mỹ Lệ</t>
  </si>
  <si>
    <t>XN-HL</t>
  </si>
  <si>
    <t>Đặng Thị Ninh Châu</t>
  </si>
  <si>
    <t>Đặng Thị Quỳnh Anh</t>
  </si>
  <si>
    <t>Đặng Thị Quỳnh Châu</t>
  </si>
  <si>
    <t>TC</t>
  </si>
  <si>
    <t>Đặng Thị Tuyến</t>
  </si>
  <si>
    <t xml:space="preserve">Đào Phúc Khánh Toàn </t>
  </si>
  <si>
    <t>DUOC</t>
  </si>
  <si>
    <t>Đào Phúc Nguyên</t>
  </si>
  <si>
    <t xml:space="preserve">Diệp Minh Hải </t>
  </si>
  <si>
    <t>5622848558</t>
  </si>
  <si>
    <t>Đinh Thị Phương Thu</t>
  </si>
  <si>
    <t xml:space="preserve">Đinh Văn Đông </t>
  </si>
  <si>
    <t>5622848336</t>
  </si>
  <si>
    <t>XN-HIV</t>
  </si>
  <si>
    <t>Đinh Văn Phúc</t>
  </si>
  <si>
    <t>Đinh Văn Thái</t>
  </si>
  <si>
    <t>Đỗ Ích Thành</t>
  </si>
  <si>
    <t>Đỗ Nguyễn Bảo Ngọc</t>
  </si>
  <si>
    <t>Đỗ Thanh Tuyền</t>
  </si>
  <si>
    <t>Đỗ Thị Diệp</t>
  </si>
  <si>
    <t>Đỗ Thị Kiều Chinh</t>
  </si>
  <si>
    <t>Đỗ Thị Mai Loan</t>
  </si>
  <si>
    <t>DD</t>
  </si>
  <si>
    <t>Đỗ Thị Thùy Linh</t>
  </si>
  <si>
    <t>Đỗ Thu Hà</t>
  </si>
  <si>
    <t>Đỗ Trường Lưu</t>
  </si>
  <si>
    <t>Đỗ Văn Lân</t>
  </si>
  <si>
    <t>Đoàn Cẩm Trúc</t>
  </si>
  <si>
    <t>Doãn Thị Minh Phước</t>
  </si>
  <si>
    <t>Doãn Thị Mỹ Ý</t>
  </si>
  <si>
    <t>Đoạn Thị Thu</t>
  </si>
  <si>
    <t>Dương Ấm Mậu</t>
  </si>
  <si>
    <t>Dương Đức Hoàng</t>
  </si>
  <si>
    <t>Dương Quốc Thảo</t>
  </si>
  <si>
    <t>Dương Thị Mười</t>
  </si>
  <si>
    <t>Dương Thị Ngọc Ánh</t>
  </si>
  <si>
    <t>XN-SS</t>
  </si>
  <si>
    <t>Hà Nguyễn Nhân Thảo</t>
  </si>
  <si>
    <t>Hà Thị Diệu Yến</t>
  </si>
  <si>
    <t>Hà Thị Thu Hà</t>
  </si>
  <si>
    <t>Hồ Công Lượng</t>
  </si>
  <si>
    <t>0935593353</t>
  </si>
  <si>
    <t>DƯỢC</t>
  </si>
  <si>
    <t>Hồ Nhật Tân</t>
  </si>
  <si>
    <t>KT</t>
  </si>
  <si>
    <t>Hồ Phú Quảng</t>
  </si>
  <si>
    <t>Hồ Quốc Linh</t>
  </si>
  <si>
    <t>Hồ Thanh Nhật</t>
  </si>
  <si>
    <t>Hồ Thanh Tùng</t>
  </si>
  <si>
    <t>Hồ Thị Bích Trâm</t>
  </si>
  <si>
    <t>Hồ Thị Kim Ánh</t>
  </si>
  <si>
    <t>Hồ Thị Ngà</t>
  </si>
  <si>
    <t>Hồ Thị Như Thảo</t>
  </si>
  <si>
    <t>Hồ Thị Sương</t>
  </si>
  <si>
    <t>TT</t>
  </si>
  <si>
    <t>Hồ Thị Tâm</t>
  </si>
  <si>
    <t>Hồ Thị Thanh Giang</t>
  </si>
  <si>
    <t xml:space="preserve">Hồ Thị Thu Huyền </t>
  </si>
  <si>
    <t>Hồ Thị Thu Phương</t>
  </si>
  <si>
    <t>Hồ Thị Thuỳ Trang</t>
  </si>
  <si>
    <t>Hồ Văn Thông</t>
  </si>
  <si>
    <t>Hoàng Hà Thu</t>
  </si>
  <si>
    <t>0356265138</t>
  </si>
  <si>
    <t>Hoàng Ngọc Cảm</t>
  </si>
  <si>
    <t>Hoàng Nguyễn Âu Trân</t>
  </si>
  <si>
    <t>Hoàng Thị Hằng</t>
  </si>
  <si>
    <t>Hoàng Thị Kim Lợi</t>
  </si>
  <si>
    <t>Hoàng Thị Minh Hiền</t>
  </si>
  <si>
    <t>Hoàng Thị Nhâm</t>
  </si>
  <si>
    <t>Hoàng Thị Tố Nguyên</t>
  </si>
  <si>
    <t>Hoàng Thị Trí</t>
  </si>
  <si>
    <t>Hồng Minh Hoa</t>
  </si>
  <si>
    <t>Huỳnh Bá Thành</t>
  </si>
  <si>
    <t>Huỳnh Đức Nghĩa</t>
  </si>
  <si>
    <t>Huỳnh Hoa</t>
  </si>
  <si>
    <t>Huỳnh Nữ Hương Quê</t>
  </si>
  <si>
    <t>Huỳnh Quang Công</t>
  </si>
  <si>
    <t>Huỳnh Thanh Hường</t>
  </si>
  <si>
    <t>Huỳnh Thi Ánh Minh</t>
  </si>
  <si>
    <t>Huỳnh Thị Bích Châu</t>
  </si>
  <si>
    <t>Huỳnh Thị Hiệp</t>
  </si>
  <si>
    <t>Huỳnh Thị Hoàng Thư</t>
  </si>
  <si>
    <t xml:space="preserve">Huỳnh Thị Hồng Trang </t>
  </si>
  <si>
    <t>5624589190</t>
  </si>
  <si>
    <t xml:space="preserve">Huỳnh Thị Huyền </t>
  </si>
  <si>
    <t>5622849153</t>
  </si>
  <si>
    <t>Huỳnh Thị Kim Dung</t>
  </si>
  <si>
    <t>Huỳnh Thị Ngọc Điểm</t>
  </si>
  <si>
    <t>Huỳnh Thị Nguyệt</t>
  </si>
  <si>
    <t>Huỳnh Thị Thanh Tú</t>
  </si>
  <si>
    <t>Huỳnh Thị Thu Sương</t>
  </si>
  <si>
    <t>Huỳnh Thị Thu Thảo</t>
  </si>
  <si>
    <t>Huỳnh Thị Thùy Hương</t>
  </si>
  <si>
    <t>Huỳnh Thị Thúy Loan</t>
  </si>
  <si>
    <t>Huỳnh Thi Trúc Linh</t>
  </si>
  <si>
    <t>Huỳnh Văn Anh Thi</t>
  </si>
  <si>
    <t>Huỳnh Văn Quý</t>
  </si>
  <si>
    <t>Lại Thị Huyền Trang</t>
  </si>
  <si>
    <t>Lại Thị Ngoc Hạnh</t>
  </si>
  <si>
    <t>XN-VS</t>
  </si>
  <si>
    <t>Lâm Phùng Phong</t>
  </si>
  <si>
    <t>Lâm Thị Nhanh</t>
  </si>
  <si>
    <t>Lê Cảnh Đề</t>
  </si>
  <si>
    <t>Lê Công Hải</t>
  </si>
  <si>
    <t>Lê Đức Đoàn</t>
  </si>
  <si>
    <t>Lê Đức Hậu</t>
  </si>
  <si>
    <t>Lê Dũng</t>
  </si>
  <si>
    <t>Lê Duy Nhân</t>
  </si>
  <si>
    <t>Lê Hoàng Phúc</t>
  </si>
  <si>
    <t>Lê Mai Hoàng Thông</t>
  </si>
  <si>
    <t>Lê Nguyễn Quỳnh Châu</t>
  </si>
  <si>
    <t>Lê Quang Minh</t>
  </si>
  <si>
    <t>Lê Tấn Ninh</t>
  </si>
  <si>
    <t>Lê Thành Chung</t>
  </si>
  <si>
    <t>Lê Thị Ánh Hồng</t>
  </si>
  <si>
    <t>Lê Thị Anh Phương</t>
  </si>
  <si>
    <t>Lê Thị Bích Trâm</t>
  </si>
  <si>
    <t>Lê Thị Hằng</t>
  </si>
  <si>
    <t>Lê Thị Hoài Như</t>
  </si>
  <si>
    <t>Lê Thị Lành</t>
  </si>
  <si>
    <t>Lê Thị Mến</t>
  </si>
  <si>
    <t>Lê Thị Mỹ Dung</t>
  </si>
  <si>
    <t>Lê Thị Mỹ Hạnh</t>
  </si>
  <si>
    <t>Lê Thị Mỹ Lợi</t>
  </si>
  <si>
    <t>Lê Thị Mỹ Phượng</t>
  </si>
  <si>
    <t>Lê Thị Ngà</t>
  </si>
  <si>
    <t>Lê Thị Phương Thảo</t>
  </si>
  <si>
    <t>Lê Thị Phương Uyên</t>
  </si>
  <si>
    <t>Lê Thị Thanh Hoa</t>
  </si>
  <si>
    <t>Lê Thị Thanh Loan</t>
  </si>
  <si>
    <t>Lê Thị Thanh Nga</t>
  </si>
  <si>
    <t>Lê Thị Thanh Thủy</t>
  </si>
  <si>
    <t>Lê Thị Thu Hiền</t>
  </si>
  <si>
    <t>Lê Thị Thu Liễu</t>
  </si>
  <si>
    <t>Lê Thị Thùy An</t>
  </si>
  <si>
    <t>Lê Thị Thủy Tiên</t>
  </si>
  <si>
    <t>0973723864</t>
  </si>
  <si>
    <t>Lê thị Vân</t>
  </si>
  <si>
    <t>Lê Thị Vân Kiều</t>
  </si>
  <si>
    <t>Lê Thị Vy</t>
  </si>
  <si>
    <t>Lê Trần Thị Ái Châu</t>
  </si>
  <si>
    <t>Lê Trung Hiếu</t>
  </si>
  <si>
    <t>Lê Trung Tám</t>
  </si>
  <si>
    <t>Lê Văn Thọ</t>
  </si>
  <si>
    <t>Lê Xuân Lộc</t>
  </si>
  <si>
    <t>Lương Thị Bích Vân</t>
  </si>
  <si>
    <t>Lưu Thị Mận</t>
  </si>
  <si>
    <t xml:space="preserve">Ma Thị Thu Hương </t>
  </si>
  <si>
    <t>Mai Tấn Trường</t>
  </si>
  <si>
    <t>Mai Thị Kiều Chinh</t>
  </si>
  <si>
    <t>Mai Thị Mỹ Duyên</t>
  </si>
  <si>
    <t>Mai Thị Thái Hoàng</t>
  </si>
  <si>
    <t>Mai Thị Thanh Nga</t>
  </si>
  <si>
    <t xml:space="preserve">Mai Thị Tính </t>
  </si>
  <si>
    <t>Mai Thị Xuân Bình</t>
  </si>
  <si>
    <t>Ngô Đặng Hà Giang</t>
  </si>
  <si>
    <t>Ngô Quang Việt Nhi</t>
  </si>
  <si>
    <t>Ngô Thị Ngọc Hạnh</t>
  </si>
  <si>
    <t>Ngô Thị Phước An</t>
  </si>
  <si>
    <t>Ngô Thị Tuyết Sương</t>
  </si>
  <si>
    <t>Ngô Văn Quang</t>
  </si>
  <si>
    <t>Ngô Xuân Hòa</t>
  </si>
  <si>
    <t>Nguyễn  Minh Tuấn</t>
  </si>
  <si>
    <t xml:space="preserve">Nguyễn  Tấn Đông </t>
  </si>
  <si>
    <t>Nguyễn Anh Tuấn</t>
  </si>
  <si>
    <t>Nguyễn Công Ẩn</t>
  </si>
  <si>
    <t>Nguyễn Đại Vĩnh</t>
  </si>
  <si>
    <t>Nguyễn Đình Chinh</t>
  </si>
  <si>
    <t>Nguyễn Đình Quang</t>
  </si>
  <si>
    <t>Nguyễn Đình Thảng</t>
  </si>
  <si>
    <t>Nguyễn Đình Thuần</t>
  </si>
  <si>
    <t>Nguyễn Đỗ Bảo Quyên</t>
  </si>
  <si>
    <t>Nguyễn Đức Lam Quỳnh</t>
  </si>
  <si>
    <t>Nguyễn Đức Vinh</t>
  </si>
  <si>
    <t>Nguyễn Dương Châu Giang</t>
  </si>
  <si>
    <t>Nguyễn Hoàng Ly Na</t>
  </si>
  <si>
    <t>Nguyễn Hữu Quý</t>
  </si>
  <si>
    <t>Nguyễn Hữu Thành</t>
  </si>
  <si>
    <t>Nguyễn Khắc Huy</t>
  </si>
  <si>
    <t>Nguyễn Lâm Nguyên</t>
  </si>
  <si>
    <t>Nguyễn Lê Anh Khoa</t>
  </si>
  <si>
    <t>Nguyễn Lợi</t>
  </si>
  <si>
    <t>Nguyễn Minh Chúng</t>
  </si>
  <si>
    <t>Nguyễn Minh Tuấn</t>
  </si>
  <si>
    <t>Nguyễn Ngọc Thục Uyên</t>
  </si>
  <si>
    <t>Nguyễn Như Tiến</t>
  </si>
  <si>
    <t>Nguyễn Như Ý</t>
  </si>
  <si>
    <t>Nguyễn Phước Lâm</t>
  </si>
  <si>
    <t>Nguyễn Quang Nghị</t>
  </si>
  <si>
    <t>Nguyễn Tấn Huynh</t>
  </si>
  <si>
    <t>Nguyễn Tấn Linh</t>
  </si>
  <si>
    <t>Nguyễn Thái Dũng</t>
  </si>
  <si>
    <t>Nguyễn Thái Hoài Bảo</t>
  </si>
  <si>
    <t>0977105312</t>
  </si>
  <si>
    <t>Nguyễn Thanh Bình</t>
  </si>
  <si>
    <t>Nguyễn Thanh Tân</t>
  </si>
  <si>
    <t>Nguyễn Thanh Tú</t>
  </si>
  <si>
    <t>Nguyễn Thị Anh</t>
  </si>
  <si>
    <t>Nguyễn Thị Ánh Bình</t>
  </si>
  <si>
    <t>Nguyễn Thị Ánh Hồng</t>
  </si>
  <si>
    <t>Nguyễn Thị Anh Thơ</t>
  </si>
  <si>
    <t>Nguyễn Thị Băng Giang</t>
  </si>
  <si>
    <t>Nguyễn Thị Bích Thuỷ</t>
  </si>
  <si>
    <t>Nguyễn Thị Đệ</t>
  </si>
  <si>
    <t>Nguyễn Thị Hà</t>
  </si>
  <si>
    <t>Nguyễn Thị Hà Vy</t>
  </si>
  <si>
    <t>Nguyễn Thị Hiền</t>
  </si>
  <si>
    <t>Nguyễn Thị Hiệp</t>
  </si>
  <si>
    <t>Nguyễn Thị Hoài Thu</t>
  </si>
  <si>
    <t xml:space="preserve">Nguyễn Thị Hoàng Trinh </t>
  </si>
  <si>
    <t>5620716181</t>
  </si>
  <si>
    <t>Nguyễn Thị Hoàng Việt</t>
  </si>
  <si>
    <t>Nguyễn Thị Hoàng Yến</t>
  </si>
  <si>
    <t>Nguyễn Thị Hồng Hà</t>
  </si>
  <si>
    <t>Nguyễn Thị Huyền</t>
  </si>
  <si>
    <t>Nguyễn Thị Khánh Hồng</t>
  </si>
  <si>
    <t>Nguyễn Thị Khuyên</t>
  </si>
  <si>
    <t>Nguyễn Thị Kim Anh</t>
  </si>
  <si>
    <t>Nguyễn Thị Kim Hoàn</t>
  </si>
  <si>
    <t>Nguyễn Thị Kim Liên</t>
  </si>
  <si>
    <t>Nguyễn Thị Kim Loan</t>
  </si>
  <si>
    <t>Nguyễn Thị Kim Phú</t>
  </si>
  <si>
    <t>0858887888</t>
  </si>
  <si>
    <t xml:space="preserve">Nguyễn Thị Kim Qúi </t>
  </si>
  <si>
    <t>Nguyễn Thị Kim Quý</t>
  </si>
  <si>
    <t>Nguyễn Thị Kim Thảo</t>
  </si>
  <si>
    <t>Nguyễn Thị Kim Tiên</t>
  </si>
  <si>
    <t>Nguyễn Thị Lài</t>
  </si>
  <si>
    <t>Nguyễn Thị Lan Hương</t>
  </si>
  <si>
    <t>Nguyễn Thị Lành</t>
  </si>
  <si>
    <t>Nguyễn Thị Lý</t>
  </si>
  <si>
    <t>Nguyễn Thị Minh Chi</t>
  </si>
  <si>
    <t>Nguyễn Thị Minh Loan</t>
  </si>
  <si>
    <t>Nguyễn Thị Minh Trâm</t>
  </si>
  <si>
    <t>Nguyễn Thị Mỹ Dung</t>
  </si>
  <si>
    <t>Nguyễn Thị Mỹ Phúc</t>
  </si>
  <si>
    <t>Nguyễn Thị Ngọc Bích</t>
  </si>
  <si>
    <t xml:space="preserve">Nguyễn Thị Ngọc Diệp </t>
  </si>
  <si>
    <t>Nguyễn Thị Ngọc Hà</t>
  </si>
  <si>
    <t>Nguyễn Thị Nguyệt</t>
  </si>
  <si>
    <t>Nguyễn Thị Phương</t>
  </si>
  <si>
    <t>Nguyễn Thị Phượng</t>
  </si>
  <si>
    <t>Nguyễn Thị Thanh Hà</t>
  </si>
  <si>
    <t>Nguyễn Thị Thanh Hiếu</t>
  </si>
  <si>
    <t>Nguyễn Thị Thanh Hương</t>
  </si>
  <si>
    <t>Nguyễn Thị Thanh Nhất</t>
  </si>
  <si>
    <t>Nguyễn Thị Thanh Thư</t>
  </si>
  <si>
    <t>Nguyễn Thị Thanh Trà</t>
  </si>
  <si>
    <t>Nguyễn Thị Thảo Ly</t>
  </si>
  <si>
    <t>Nguyễn Thị Thảo Ngọc</t>
  </si>
  <si>
    <t>Nguyễn Thị Thư</t>
  </si>
  <si>
    <t>Nguyễn Thị Thu Hiền</t>
  </si>
  <si>
    <t>Nguyễn Thị Thu Hường</t>
  </si>
  <si>
    <t>Nguyễn Thị Thu Tâm</t>
  </si>
  <si>
    <t>Nguyễn Thị Thu Thảo</t>
  </si>
  <si>
    <t>Nguyễn Thị Thùy</t>
  </si>
  <si>
    <t>Nguyễn Thị Thủy</t>
  </si>
  <si>
    <t>Nguyễn Thị Thúy Hà</t>
  </si>
  <si>
    <t>Nguyễn Thị Thúy Ngân</t>
  </si>
  <si>
    <t>Nguyễn Thị Tuyết Anh</t>
  </si>
  <si>
    <t>Nguyễn Thị Vân</t>
  </si>
  <si>
    <t>Nguyễn Thị Vũ Cẩm</t>
  </si>
  <si>
    <t>Nguyễn Thị Xuân Ánh</t>
  </si>
  <si>
    <t>Nguyễn Thị Xuân Hương</t>
  </si>
  <si>
    <t>Nguyễn Thị Yên</t>
  </si>
  <si>
    <t>Nguyễn Thị Yến</t>
  </si>
  <si>
    <t>Nguyễn Trần Hà Thu</t>
  </si>
  <si>
    <t>Nguyễn Trung Tính</t>
  </si>
  <si>
    <t>Nguyễn Trường Duy</t>
  </si>
  <si>
    <t>Nguyễn Văn Hạnh</t>
  </si>
  <si>
    <t>Nguyễn Văn Lượng</t>
  </si>
  <si>
    <t>Nguyễn Vân Thư</t>
  </si>
  <si>
    <t>Nguyễn Văn Việt</t>
  </si>
  <si>
    <t>Nguyễn Viết Thạnh</t>
  </si>
  <si>
    <t>Nguyễn Vũ Thùy Trang</t>
  </si>
  <si>
    <t>Nguyễn Xuân Phú</t>
  </si>
  <si>
    <t>Ông Văn Anh</t>
  </si>
  <si>
    <t>Phạm Anh Tuấn</t>
  </si>
  <si>
    <t>Phạm Duy Phương Nhi</t>
  </si>
  <si>
    <t>Phạm Nguyễn Khánh Phương</t>
  </si>
  <si>
    <t>Phạm Phú Ân</t>
  </si>
  <si>
    <t>Phạm Phú Khôi</t>
  </si>
  <si>
    <t>Phạm Thanh Hùng</t>
  </si>
  <si>
    <t>Phạm Thị Bích Huệ</t>
  </si>
  <si>
    <t>Phạm thị Chi Na</t>
  </si>
  <si>
    <t>Phạm Thị Hà</t>
  </si>
  <si>
    <t>Phạm Thị Hiếu</t>
  </si>
  <si>
    <t>Phạm Thị Kim Dung</t>
  </si>
  <si>
    <t>Phạm Thi Nam</t>
  </si>
  <si>
    <t xml:space="preserve">PK </t>
  </si>
  <si>
    <t>Phạm Thị Ngọc Quỳnh</t>
  </si>
  <si>
    <t>Phạm Thị Thanh Mai</t>
  </si>
  <si>
    <t>Phạm Thị Tuyết Mai</t>
  </si>
  <si>
    <t>Phạm Văn Hưng</t>
  </si>
  <si>
    <t>Phạm Văn Mỹ</t>
  </si>
  <si>
    <t>Phạm Viết Sơn</t>
  </si>
  <si>
    <t>Phan Châu Kha</t>
  </si>
  <si>
    <t>Phan Chiến Thắng</t>
  </si>
  <si>
    <t>Phan Nguyễn Trà Linh</t>
  </si>
  <si>
    <t>Phan Nguyễn Tường Quyên</t>
  </si>
  <si>
    <t>Phan Nhất Toàn</t>
  </si>
  <si>
    <t>Phan Sỹ Minh</t>
  </si>
  <si>
    <t>Phan Thanh Hoàn</t>
  </si>
  <si>
    <t>Phan Thành Tuân</t>
  </si>
  <si>
    <t>Phan Thanh Việt</t>
  </si>
  <si>
    <t>Phan Thị Anh Thu</t>
  </si>
  <si>
    <t>Phan Thị Dung</t>
  </si>
  <si>
    <t>Phan Thị Hoài Thu</t>
  </si>
  <si>
    <t>Phan Thị Hoàng</t>
  </si>
  <si>
    <t>Phan Thị Ni Na</t>
  </si>
  <si>
    <t>Phan Thị Phượng Vỹ</t>
  </si>
  <si>
    <t>Phan Thị Thanh</t>
  </si>
  <si>
    <t>Phan Thị Thanh Hằng</t>
  </si>
  <si>
    <t>Phan Thị Thùy Duyên</t>
  </si>
  <si>
    <t>Phan Thị Thuý Liên</t>
  </si>
  <si>
    <t>Phan Thị Tin</t>
  </si>
  <si>
    <t>Phan Thị Yên</t>
  </si>
  <si>
    <t>Phan Thị Yến Ly</t>
  </si>
  <si>
    <t>Phan Văn Bửu</t>
  </si>
  <si>
    <t>Phan Văn Sang</t>
  </si>
  <si>
    <t>Phổ Thị Ánh Hằng</t>
  </si>
  <si>
    <t>Phùng Thị Thanh Bình</t>
  </si>
  <si>
    <t>Tạ Đức Cương</t>
  </si>
  <si>
    <t>Tạ Thị Hương</t>
  </si>
  <si>
    <t>Tạ Thị Thu Hiên</t>
  </si>
  <si>
    <t>Thái Viết Lợi</t>
  </si>
  <si>
    <t>Thân Thị Bảy</t>
  </si>
  <si>
    <t>Tô Thị Sách</t>
  </si>
  <si>
    <t>Tô Việt Hưng</t>
  </si>
  <si>
    <t>Trần Đàm Thịnh</t>
  </si>
  <si>
    <t>Trần Đình Tám</t>
  </si>
  <si>
    <t>Trần Đình Thắng</t>
  </si>
  <si>
    <t>Trần Đình Vũ</t>
  </si>
  <si>
    <t>Trần Hà Thái</t>
  </si>
  <si>
    <t>Trần Hoàng Long</t>
  </si>
  <si>
    <t>Trần Hoàng Uyên</t>
  </si>
  <si>
    <t>Trần Liên</t>
  </si>
  <si>
    <t>Trần Ngọc Lĩnh</t>
  </si>
  <si>
    <t>Trần Ngọc Thịnh</t>
  </si>
  <si>
    <t>Trần Nguyên Quỳnh Thư</t>
  </si>
  <si>
    <t>Trần Quốc Toản</t>
  </si>
  <si>
    <t>Trần Quốc Việt</t>
  </si>
  <si>
    <t>Trần Tấn Bửu</t>
  </si>
  <si>
    <t>Trần Thị Bích Nguyệt</t>
  </si>
  <si>
    <t>Trần Thị Dạ Thảo</t>
  </si>
  <si>
    <t>Trần Thị Đức Hạnh</t>
  </si>
  <si>
    <t>Trần Thị Hà</t>
  </si>
  <si>
    <t>Trần Thị Hà Tiên</t>
  </si>
  <si>
    <t>Trần Thị Hồng Hạnh</t>
  </si>
  <si>
    <t>Trần Thị Hồng Ngọc</t>
  </si>
  <si>
    <t>Trần Thị Kim Oanh</t>
  </si>
  <si>
    <t>Trần Thị Liên</t>
  </si>
  <si>
    <t>Trần Thị Mai Loan</t>
  </si>
  <si>
    <t>Trần Thị Minh Châu</t>
  </si>
  <si>
    <t>Trần Thị Minh Thành</t>
  </si>
  <si>
    <t>Trần Thị Phi</t>
  </si>
  <si>
    <t>Trần Thị Thanh</t>
  </si>
  <si>
    <t>Trần Thị Thanh Phú</t>
  </si>
  <si>
    <t>Trần Thị Thanh Vân</t>
  </si>
  <si>
    <t>Trần Thị Thu Ba</t>
  </si>
  <si>
    <t>Trần Thị Thu Hằng</t>
  </si>
  <si>
    <t>Trần Thị Thu Thảo</t>
  </si>
  <si>
    <t>Trần Thị Trưởng Hoa</t>
  </si>
  <si>
    <t>Trần Thị Vũ</t>
  </si>
  <si>
    <t>Trần Văn Vũ</t>
  </si>
  <si>
    <t xml:space="preserve">Trịnh Ngọc Như Quỳnh </t>
  </si>
  <si>
    <t>0935759085</t>
  </si>
  <si>
    <t xml:space="preserve">Trinh Nguyên Khánh Hòa </t>
  </si>
  <si>
    <t>5622849199</t>
  </si>
  <si>
    <t>Trịnh Thị Thu Hằng</t>
  </si>
  <si>
    <t>Trương Công Gia Huy</t>
  </si>
  <si>
    <t>Trương Công Phước</t>
  </si>
  <si>
    <t>Trương Đình Tân</t>
  </si>
  <si>
    <t>Trương Ngọc Sĩ</t>
  </si>
  <si>
    <t>Trương Tấn Lợi</t>
  </si>
  <si>
    <t>Trương Tấn Nam</t>
  </si>
  <si>
    <t>Trương Thị Cẩm Nguyên</t>
  </si>
  <si>
    <t>Trương Thị Thu Dung</t>
  </si>
  <si>
    <t>Trương Thị Thuận</t>
  </si>
  <si>
    <t>Trương Văn Hành</t>
  </si>
  <si>
    <t>Văn Quý Thuận</t>
  </si>
  <si>
    <t>Văn Thị Yến</t>
  </si>
  <si>
    <t>Võ Đông Giang</t>
  </si>
  <si>
    <t>Võ Duy Hưng</t>
  </si>
  <si>
    <t>Võ Tấn Thư</t>
  </si>
  <si>
    <t>Võ Thanh Tân</t>
  </si>
  <si>
    <t>Võ Thị Duy Lệ</t>
  </si>
  <si>
    <t>Võ Thị Kim Liên</t>
  </si>
  <si>
    <t>Võ Thị Mỹ Linh</t>
  </si>
  <si>
    <t>Võ Thị Nghĩa</t>
  </si>
  <si>
    <t>Võ Thị Thu</t>
  </si>
  <si>
    <t>Võ Thị Thùy Trang</t>
  </si>
  <si>
    <t>Võ Thị Tuyết Nhung</t>
  </si>
  <si>
    <t>PGĐ</t>
  </si>
  <si>
    <t>Võ Trung Hoàng</t>
  </si>
  <si>
    <t>Võ Vĩnh Hào</t>
  </si>
  <si>
    <t>Vũ Đức Hậu</t>
  </si>
  <si>
    <t>Vũ Ngọc Hoàng</t>
  </si>
  <si>
    <t>Vũ Nguyên Thiên</t>
  </si>
  <si>
    <t>Vũ Thanh Huyền</t>
  </si>
  <si>
    <t>Cộng</t>
  </si>
  <si>
    <t xml:space="preserve">  Tổng TNCT: </t>
  </si>
  <si>
    <t xml:space="preserve">THUẾ TNCN: </t>
  </si>
  <si>
    <t>Đà Nẵng, ngày 12 tháng  05 năm 2026</t>
  </si>
  <si>
    <t>NGƯỜI LẬP BẢNG</t>
  </si>
  <si>
    <t xml:space="preserve">        KẾ TOÁN TRƯỞNG</t>
  </si>
  <si>
    <t xml:space="preserve">            THỦ TRƯỞNG ĐƠN VỊ</t>
  </si>
  <si>
    <t xml:space="preserve">   Phan Thị Yến Ly</t>
  </si>
  <si>
    <t xml:space="preserve">             Hồ Phú Quảng</t>
  </si>
  <si>
    <t xml:space="preserve">                   Nguyễn Đại Vĩnh</t>
  </si>
  <si>
    <t>chuong.vipdn@gmail.com</t>
  </si>
  <si>
    <t>cobala050691@gmail.com</t>
  </si>
  <si>
    <t>longcanht4g@gmail.com</t>
  </si>
  <si>
    <t>minhhai8587@gmail.com</t>
  </si>
  <si>
    <t>Thangcdcdna@gmail.com</t>
  </si>
  <si>
    <t>kienalkaza@gmail.com</t>
  </si>
  <si>
    <t>hoangminhhuy94@gmail.com</t>
  </si>
  <si>
    <t>caomaiphuong94@gmail.com</t>
  </si>
  <si>
    <t>chautrinhthoaqn@gmail.com</t>
  </si>
  <si>
    <t>cvh22hung@gmail.com</t>
  </si>
  <si>
    <t>khoidam88@gmail.com</t>
  </si>
  <si>
    <t>dangngocanhdn114@gmail.com</t>
  </si>
  <si>
    <t>sanhyhdp98@gmail.com</t>
  </si>
  <si>
    <t>quanganh302098@gmail.com</t>
  </si>
  <si>
    <t>dqanh103@gmail.com</t>
  </si>
  <si>
    <t>tuyendangquang@gmail.com</t>
  </si>
  <si>
    <t>dangthidieumy51@gmail.com</t>
  </si>
  <si>
    <t>bshuong65cdc@gmail.com</t>
  </si>
  <si>
    <t>nguyenkimdang84@gmail.com</t>
  </si>
  <si>
    <t>mai177khoi@gmail.com</t>
  </si>
  <si>
    <t>dangthimyle1985@gmail.com</t>
  </si>
  <si>
    <t>ninhchau08@gmail.com</t>
  </si>
  <si>
    <t>quynhanh8586@gmail.com</t>
  </si>
  <si>
    <t>chaudang78@gmail.com</t>
  </si>
  <si>
    <t>dangthituyen88@gmail.com</t>
  </si>
  <si>
    <t>daophucnguyen316@gmail.com</t>
  </si>
  <si>
    <t>phuongthu1112@gmail.com</t>
  </si>
  <si>
    <t>dongdinhvanytdpqn@gmail.com</t>
  </si>
  <si>
    <t>phucxetnghiem@gmail.com</t>
  </si>
  <si>
    <t>doichthanh87@gmail.com</t>
  </si>
  <si>
    <t>baongoc1102@gmail.com</t>
  </si>
  <si>
    <t>dothanhtuyen0611@gmail.com</t>
  </si>
  <si>
    <t>diepdo286@gmail.com</t>
  </si>
  <si>
    <t>dokieuchinhcdc@gmail.com</t>
  </si>
  <si>
    <t>dtmloan88@gmail.com</t>
  </si>
  <si>
    <t>dolinhytcc@gmail.com</t>
  </si>
  <si>
    <t>truongluu74@gmail.com</t>
  </si>
  <si>
    <t>landovan69@gmail.com</t>
  </si>
  <si>
    <t>truc1210@gmail.com</t>
  </si>
  <si>
    <t>doanminhphuoc1985@gmail.com</t>
  </si>
  <si>
    <t>doanthimyy1991@gmail.com</t>
  </si>
  <si>
    <t>doanthu2013@gmail.com</t>
  </si>
  <si>
    <t>duongammau@gmail.com</t>
  </si>
  <si>
    <t>duongduchoang70@gmail.com</t>
  </si>
  <si>
    <t>duongquocthaotk92@gmail.com</t>
  </si>
  <si>
    <t>dươngmuoi81973@gmail.com</t>
  </si>
  <si>
    <t>ngocanhqnam@gmail.com</t>
  </si>
  <si>
    <t>nhanthao1412@gmail.com</t>
  </si>
  <si>
    <t>hadieuyen@gmail.com</t>
  </si>
  <si>
    <t>hathuha82@gmail.com</t>
  </si>
  <si>
    <t>hclhcl0@gmail.com</t>
  </si>
  <si>
    <t>hnhattan.95@gmail.com</t>
  </si>
  <si>
    <t>hpquang2021@gmail.com</t>
  </si>
  <si>
    <t>linh0101@gmail.com</t>
  </si>
  <si>
    <t>hothanhtung09sh@gmail.com</t>
  </si>
  <si>
    <t>tramlqd@gmail.com</t>
  </si>
  <si>
    <t>anhkimho@gmail.com</t>
  </si>
  <si>
    <t>hothinga171091@gmail.com</t>
  </si>
  <si>
    <t>thi.ho6@uq.net.au</t>
  </si>
  <si>
    <t>hothisuongytcc@gmail.com</t>
  </si>
  <si>
    <t>thanhgiangt4g@gmail.com</t>
  </si>
  <si>
    <t>hothithuhuyen710252@gmail.com</t>
  </si>
  <si>
    <t>thuphuongtv10@gmail.com</t>
  </si>
  <si>
    <t>hothuytrang1807@gmail.com</t>
  </si>
  <si>
    <t>thuhoang026@gmail.com.vn</t>
  </si>
  <si>
    <t>hoangnguyenautran@gmail.com</t>
  </si>
  <si>
    <t>kimloi10291@gmail.com</t>
  </si>
  <si>
    <t>hoangminhhien4@gmail.com</t>
  </si>
  <si>
    <t>hoangnham83@gmail.com</t>
  </si>
  <si>
    <t>nguyentoenv@gmail.com</t>
  </si>
  <si>
    <t>triht@danang.gov.vn</t>
  </si>
  <si>
    <t>hongminhhoa88@gmail.com</t>
  </si>
  <si>
    <t>nghia164@gmail.com</t>
  </si>
  <si>
    <t>Que89kdqt@gmail.com</t>
  </si>
  <si>
    <t>cucong117@gmail.com</t>
  </si>
  <si>
    <t>thuyngannguyen2012@gmail.com</t>
  </si>
  <si>
    <t>t4gchau@gmail.com</t>
  </si>
  <si>
    <t>hiephuynh14.01@gmail.com</t>
  </si>
  <si>
    <t>hoangthudng@gmail.com</t>
  </si>
  <si>
    <t>htkd20@gmail.com</t>
  </si>
  <si>
    <t>ngdiemha@gmail.com</t>
  </si>
  <si>
    <t>nguyetquangnam57@gmail.com</t>
  </si>
  <si>
    <t>Thanhtuhuynhqn@gmail.com</t>
  </si>
  <si>
    <t>htts101089@gmail.com</t>
  </si>
  <si>
    <t>huynhthaodt@gmail.com</t>
  </si>
  <si>
    <t>thuyhuongskss.dn@gmail.com</t>
  </si>
  <si>
    <t>thuyloan.skmt@gmail.com</t>
  </si>
  <si>
    <t>truclinhqna14@gmail.com</t>
  </si>
  <si>
    <t>huynhvananhthi@gmail.com</t>
  </si>
  <si>
    <t>laithihuyentrang@gmail.com</t>
  </si>
  <si>
    <t>ngochanh250493@gmail.com</t>
  </si>
  <si>
    <t>lamphungphong189@gmail.com</t>
  </si>
  <si>
    <t>lamthinhanh@gmail.com</t>
  </si>
  <si>
    <t>conghaiksbtdn@gmail.com</t>
  </si>
  <si>
    <t>doanbnndng@gmail.com</t>
  </si>
  <si>
    <t>duchau010295@gmail.com</t>
  </si>
  <si>
    <t>ledungkdqt@gmail.com</t>
  </si>
  <si>
    <t>duynhan18102016@gmail.com</t>
  </si>
  <si>
    <t>hoangphuckdqt@gmail.com</t>
  </si>
  <si>
    <t>hoangthonglemai@gmail.com</t>
  </si>
  <si>
    <t>chaugdskktnn@gmail.com</t>
  </si>
  <si>
    <t>quangminh163@gmail.com</t>
  </si>
  <si>
    <t>lethanhchung1965@gmail.com</t>
  </si>
  <si>
    <t>hongkdqt@gmail.com</t>
  </si>
  <si>
    <t>Phuongcanada2021@gmail.com</t>
  </si>
  <si>
    <t>bichtram89dn@gmail.com</t>
  </si>
  <si>
    <t>bslehang1981@gmail.com</t>
  </si>
  <si>
    <t>Lethilanh692@gmail.com</t>
  </si>
  <si>
    <t>Menlethi1992@gmail.com</t>
  </si>
  <si>
    <t>lethimydung5@gmail.com</t>
  </si>
  <si>
    <t>lethimyhanh16102038@gmail.com</t>
  </si>
  <si>
    <t>myloi010383@gmail.com</t>
  </si>
  <si>
    <t>lethimyphuong315@gmail.com</t>
  </si>
  <si>
    <t>Ngapharmacist89@gmail</t>
  </si>
  <si>
    <t>nalehoa@gmail.com</t>
  </si>
  <si>
    <t>loanle21021986@gmail.com</t>
  </si>
  <si>
    <t>lengaxn@gmail.com</t>
  </si>
  <si>
    <t>thuydtqnam@gmail.com</t>
  </si>
  <si>
    <t>hienltt11@danang.gov.vn</t>
  </si>
  <si>
    <t>thulieu.210486@gmail.com</t>
  </si>
  <si>
    <t>thuyan659@gmail.com</t>
  </si>
  <si>
    <t>lethithuytien.cnsh1995@gmail.com</t>
  </si>
  <si>
    <t>van.lt@cdcquangnam.vn</t>
  </si>
  <si>
    <t>lethivankieu88@gmail.com</t>
  </si>
  <si>
    <t xml:space="preserve">lethivy169@gmail.com </t>
  </si>
  <si>
    <t>lttac1995@gamil.com</t>
  </si>
  <si>
    <t>trunghieumed@gmail.com</t>
  </si>
  <si>
    <t>tamnhan27@gmail.com</t>
  </si>
  <si>
    <t>locleboy88@gmail.com</t>
  </si>
  <si>
    <t>vanluongthibich5@gmail.com</t>
  </si>
  <si>
    <t>luuman1975@gmail.com</t>
  </si>
  <si>
    <t>maitantruong2911@gmail.com</t>
  </si>
  <si>
    <t>mtkchinh@gmail.com</t>
  </si>
  <si>
    <t>Duyenmai1703@gmail.com</t>
  </si>
  <si>
    <t>maithaihoang575@gmail.com</t>
  </si>
  <si>
    <t>mtthanhnga91@gmail.com</t>
  </si>
  <si>
    <t>tinhskssqn@gmail.com</t>
  </si>
  <si>
    <t>binhttaids@gmail.com</t>
  </si>
  <si>
    <t>hagiang120582@gmail.com</t>
  </si>
  <si>
    <t>vietnhi638@gmail.com</t>
  </si>
  <si>
    <t>ngongochanh1702@gmail.com</t>
  </si>
  <si>
    <t>phuocant4g@gmail.com</t>
  </si>
  <si>
    <t>tuyetsuong0406@gmail.com</t>
  </si>
  <si>
    <t>ngovanquang.dng@gmail.com</t>
  </si>
  <si>
    <t>xhoadng@gmail.com</t>
  </si>
  <si>
    <t>drnguyenminhtuan@gmail.com</t>
  </si>
  <si>
    <t>nguyentandongxn@gmail.com</t>
  </si>
  <si>
    <t>nguyenanhtuan.ytcc@gmail.com</t>
  </si>
  <si>
    <t>annguyenytdp@gmail.com</t>
  </si>
  <si>
    <t>vinhnd1@danang.gov.vn</t>
  </si>
  <si>
    <t>dinhchinhnguyen231982@gmail.com</t>
  </si>
  <si>
    <t>nguyendinhquang79@gmai.com</t>
  </si>
  <si>
    <t>bnndng@gmail.com</t>
  </si>
  <si>
    <t>thuannd0695@gmail.com</t>
  </si>
  <si>
    <t>baoquyen0102@gmail.com</t>
  </si>
  <si>
    <t>lamquynh2512@gmail.com</t>
  </si>
  <si>
    <t>nguyenducvinh1982dn@gmail.com</t>
  </si>
  <si>
    <t>chaugiang.dn1980@gmail.com</t>
  </si>
  <si>
    <t>nguyenhoanglyna189@gmail.com</t>
  </si>
  <si>
    <t>quynhat.76.82@gmail.com</t>
  </si>
  <si>
    <t>thanhnguyenhuu86@gmail.com</t>
  </si>
  <si>
    <t>huydichte@gmail.com</t>
  </si>
  <si>
    <t>nguyenloicdcqnam@gmail.com</t>
  </si>
  <si>
    <t>nguyenthanhminh252@gmail.com</t>
  </si>
  <si>
    <t>tuannm3@danang.gov.vn</t>
  </si>
  <si>
    <t>thucuyen.021@gmail.com</t>
  </si>
  <si>
    <t xml:space="preserve">tiendtsrqn@gmail.com </t>
  </si>
  <si>
    <t>nhuyytdp@gmail.com</t>
  </si>
  <si>
    <t>nguyenphuoclamsr@gmail.com</t>
  </si>
  <si>
    <t>nghi0401@gmail.com</t>
  </si>
  <si>
    <t>nguyenthaidung281985@gmail.com</t>
  </si>
  <si>
    <t>nguyenthaihoaibao@gmail.com</t>
  </si>
  <si>
    <t>nguyenbinhkdyt@gmail.com</t>
  </si>
  <si>
    <t>sunflower22280@gmail.com</t>
  </si>
  <si>
    <t>nguyenthianh050884@gmail.com</t>
  </si>
  <si>
    <t>ntanhbinh@gmail.com</t>
  </si>
  <si>
    <t>nguyenanhhong1980qv@gmail.com</t>
  </si>
  <si>
    <t>anhthotai@gmail.com</t>
  </si>
  <si>
    <t>bgiang1201@gmail.com</t>
  </si>
  <si>
    <t>thuykhanhlinh2007@gmail.com</t>
  </si>
  <si>
    <t>nguyenthidecdc@gmail.com</t>
  </si>
  <si>
    <t>hanguyen.280174@gmail.com</t>
  </si>
  <si>
    <t>havynguyen1987@gmail.com</t>
  </si>
  <si>
    <t>hiennguyenthi27041975@gmail.com</t>
  </si>
  <si>
    <t>hiepnguyen1811ptv@gmail.com</t>
  </si>
  <si>
    <t>nguyenhoaithu211088@gmail.com</t>
  </si>
  <si>
    <t>hoangvietcdcqnam@gmail.com</t>
  </si>
  <si>
    <t>yeens81@gmail.com</t>
  </si>
  <si>
    <t>nhshuyen@gmail.com</t>
  </si>
  <si>
    <t>nguyenkhanhhong299@gmail.com</t>
  </si>
  <si>
    <t>nguyenkhuyen102014@gmail.com</t>
  </si>
  <si>
    <t>kimanh16102911@gmail.com</t>
  </si>
  <si>
    <t>hoanntk@danang.gov.vn</t>
  </si>
  <si>
    <t>kimliennguyen1541970@gmail.com</t>
  </si>
  <si>
    <t>loan190004@gmail.com</t>
  </si>
  <si>
    <t>kimphu7998@gmail.com</t>
  </si>
  <si>
    <t>kimqui630@gmail.com</t>
  </si>
  <si>
    <t>Quy235211@gmail.com</t>
  </si>
  <si>
    <t>kimthao27101988@gmail.com</t>
  </si>
  <si>
    <t>ctytthqnam@gmail.com</t>
  </si>
  <si>
    <t>lai.nguyenthi84@gmail.com</t>
  </si>
  <si>
    <t>lanhuongcdcqna@gmail.com</t>
  </si>
  <si>
    <t>lanhkdytqt2014@gmail.com</t>
  </si>
  <si>
    <t>vietly81@gmail.com</t>
  </si>
  <si>
    <t>nguyenthiminhchi1990@gmail.com</t>
  </si>
  <si>
    <t>minhloan2891991@gmail.com</t>
  </si>
  <si>
    <t>Chautram1412@gmail.com</t>
  </si>
  <si>
    <t>phucphuong88@gmail.com</t>
  </si>
  <si>
    <t>nguyenthingocbich103tt@gmail.com</t>
  </si>
  <si>
    <t>diepcdc2025@gmail.com</t>
  </si>
  <si>
    <t>gnoudha@gmail.com</t>
  </si>
  <si>
    <t>nguyennguyet20021970@gmail.com</t>
  </si>
  <si>
    <t>phuongnguyent52@gmail.com</t>
  </si>
  <si>
    <t>nguyenthiphuongbisaka1978@gmail.com</t>
  </si>
  <si>
    <t>Thanhha79911@gmail.com</t>
  </si>
  <si>
    <t>thhieu1704.mtd@gmail.com</t>
  </si>
  <si>
    <t>thanhhuong260485@gmail.com</t>
  </si>
  <si>
    <t>Thanhnhatyte@gmail.com</t>
  </si>
  <si>
    <t>thanhthu218@gmail.com</t>
  </si>
  <si>
    <t>trakehoachcdc@gmail.com</t>
  </si>
  <si>
    <t>thaolynguyen1409@gmail.com</t>
  </si>
  <si>
    <t>nguyenthithuskssqn@gmail.com</t>
  </si>
  <si>
    <t>hienntt1084@gmail.com</t>
  </si>
  <si>
    <t>sautam71@gmail.com</t>
  </si>
  <si>
    <t>nguyenthuthao014@gmail.com</t>
  </si>
  <si>
    <t>thuy.dp0915@gmail.com</t>
  </si>
  <si>
    <t>thuythuydp123@gmail.com</t>
  </si>
  <si>
    <t>nguyenthithuyhaqb@gmail.com</t>
  </si>
  <si>
    <t>nganskssdn92@gmail.com</t>
  </si>
  <si>
    <t>tuyetanhkdytcdcdanang@gmail.com</t>
  </si>
  <si>
    <t>thivankt@gmail.com</t>
  </si>
  <si>
    <t>camntv@danang.gov.vn</t>
  </si>
  <si>
    <t>xuanhuong1510@gmail.com</t>
  </si>
  <si>
    <t>yennguyenpre@gmail.com</t>
  </si>
  <si>
    <t>yena178@gmail.com</t>
  </si>
  <si>
    <t>nguyenthiyen20473@gmail.com</t>
  </si>
  <si>
    <t>hathu16081993@gmail.com</t>
  </si>
  <si>
    <t>Trungtinhdn95@gmail.com</t>
  </si>
  <si>
    <t>nguyentruongduyqn@gmail.com</t>
  </si>
  <si>
    <t>nguyenhanhdt79@gmail.com</t>
  </si>
  <si>
    <t>Nguyenvluong1991@gmail.com</t>
  </si>
  <si>
    <t>vanthunguyen2000@gmail.com</t>
  </si>
  <si>
    <t>vanviet121942510@gmail.com</t>
  </si>
  <si>
    <t>Nguyenvietthanh016@gmail.com</t>
  </si>
  <si>
    <t>trangnvt@danang.gov.vn</t>
  </si>
  <si>
    <t>123buocddeu@gmail.com</t>
  </si>
  <si>
    <t>Ongvananh112@gmail.com</t>
  </si>
  <si>
    <t>phamduyphuongnhi@gmail.com</t>
  </si>
  <si>
    <t>phuongkhanhpham80@gmail.com</t>
  </si>
  <si>
    <t>Phamphuan1987@gmail.com</t>
  </si>
  <si>
    <t>hungdai1608@gmail.com</t>
  </si>
  <si>
    <t>hienhoanghue@gmail.com</t>
  </si>
  <si>
    <t>china06c1@gmail.com</t>
  </si>
  <si>
    <t>ha010588.qn@gmail.com</t>
  </si>
  <si>
    <t>phamthihieuxn36B@gmail.com</t>
  </si>
  <si>
    <t>phamkimdung70@gmail.com</t>
  </si>
  <si>
    <t>thinam.dnpm@gmail.com</t>
  </si>
  <si>
    <t>pttm989@gmail.com</t>
  </si>
  <si>
    <t>thaomai372@gmail.com</t>
  </si>
  <si>
    <t>hungkdqt@gmail.com</t>
  </si>
  <si>
    <t>mypham1966@gmail.com</t>
  </si>
  <si>
    <t>Phamvietson01@gmail.com</t>
  </si>
  <si>
    <t>drpckha@gmail.com</t>
  </si>
  <si>
    <t>phanchienthang.pct@gmail.com</t>
  </si>
  <si>
    <t>phannguyentralinh1998@gmail.com</t>
  </si>
  <si>
    <t>nhattoana252@gmail.com</t>
  </si>
  <si>
    <t>phansyminh92@gmail.com</t>
  </si>
  <si>
    <t>hoanpt.aidsdng@gmail.com</t>
  </si>
  <si>
    <t>tycomtk@gmail.com</t>
  </si>
  <si>
    <t>Pt.viet2310@gmail.com</t>
  </si>
  <si>
    <t>phananhthu79@gmai.com</t>
  </si>
  <si>
    <t>phanthidung201987@gmail.com</t>
  </si>
  <si>
    <t>hoaithu30504@gmail.com</t>
  </si>
  <si>
    <t>hoangphan7890@gmail.com</t>
  </si>
  <si>
    <t>na.ptn@cdcquangnam.vn</t>
  </si>
  <si>
    <t>phuongvyphan87@gmail.com</t>
  </si>
  <si>
    <t>phanthanh299@gmail.com</t>
  </si>
  <si>
    <t>thanhhang220474@gmail.com</t>
  </si>
  <si>
    <t>thuyduyen1404@gmail.com</t>
  </si>
  <si>
    <t>lienkdqt@gmail.com</t>
  </si>
  <si>
    <t>tinthiphan28@gmail.com</t>
  </si>
  <si>
    <t>yennasmile@gmail.com</t>
  </si>
  <si>
    <t>yenlyphan2012@gmail.com</t>
  </si>
  <si>
    <t>phanbuu72@gmail.com</t>
  </si>
  <si>
    <t>phanvansang94@gmail.com</t>
  </si>
  <si>
    <t>phohang050315@gmail.com</t>
  </si>
  <si>
    <t>phungthithanhbinh1994@gmail.com</t>
  </si>
  <si>
    <t>Taduccuong90@gmail.com</t>
  </si>
  <si>
    <t>huongthita@gmail.com</t>
  </si>
  <si>
    <t>thuhienkdqt84@gmail.com</t>
  </si>
  <si>
    <t>thaivietloikdqt@gmail.com</t>
  </si>
  <si>
    <t>bay.tt@cdcquangnam.vn</t>
  </si>
  <si>
    <t>tothisach.220572@gmail.com</t>
  </si>
  <si>
    <t>Toviethung1990@gmail.com</t>
  </si>
  <si>
    <t>Trandamthinh@gmail.com</t>
  </si>
  <si>
    <t>tamtrandinh959@gmail.com</t>
  </si>
  <si>
    <t>tdvu76@gmail.com</t>
  </si>
  <si>
    <t>hathai284@gmail.com</t>
  </si>
  <si>
    <t>thlongpharmacist@gmail.com</t>
  </si>
  <si>
    <t>uyentran412@gmail.com</t>
  </si>
  <si>
    <t>lient@danang.gov.vn</t>
  </si>
  <si>
    <t>tranngoclinh121979@gmail.com</t>
  </si>
  <si>
    <t>thu83ytdp@gmail.com</t>
  </si>
  <si>
    <t>toanquoctran73@gmail,com</t>
  </si>
  <si>
    <t>vietquoc8283@gmail.com</t>
  </si>
  <si>
    <t>nguyettran1277@gmail.com</t>
  </si>
  <si>
    <t>dathaotran0403@gmail.com</t>
  </si>
  <si>
    <t>chaukhanh1512@gmail.com</t>
  </si>
  <si>
    <t>tranthiha171179@gmail.com</t>
  </si>
  <si>
    <t>hatien021091@gmail.com</t>
  </si>
  <si>
    <t>lihuyen2810@gmail.com</t>
  </si>
  <si>
    <t>tranhongngoc775@gmail.com</t>
  </si>
  <si>
    <t>kimoanhtran83@gmail.com</t>
  </si>
  <si>
    <t>Lientrancdc@gmail.com</t>
  </si>
  <si>
    <t>loan.ttm@cdcquangnam.vn</t>
  </si>
  <si>
    <t>chauduoccdc@gmail.com</t>
  </si>
  <si>
    <t>tt9622104@gmail.com</t>
  </si>
  <si>
    <t>phitrandn276@gmail.com</t>
  </si>
  <si>
    <t>tranthitothanh0510@gmail.com</t>
  </si>
  <si>
    <t>thanhphucdc2510@gmail.com</t>
  </si>
  <si>
    <t>tttvan080289@gmail.com</t>
  </si>
  <si>
    <t>tranthithuba1973@gmail.com</t>
  </si>
  <si>
    <t>Thuhang221187@gmail.com</t>
  </si>
  <si>
    <t>thaogs91@gmail.com</t>
  </si>
  <si>
    <t>truonghoa2chau@gmail.com</t>
  </si>
  <si>
    <t>vu45685@donga.edu.vn</t>
  </si>
  <si>
    <t>quynhtnn031188@gmail.com</t>
  </si>
  <si>
    <t>hangtrinh.1427@gmail.com</t>
  </si>
  <si>
    <t>tcgiahuy@gmail.com</t>
  </si>
  <si>
    <t>bsphuoc1977@gmail.com</t>
  </si>
  <si>
    <t>loitkqn1985@gmail.com</t>
  </si>
  <si>
    <t>namtrt.aidsdn@gmail.com</t>
  </si>
  <si>
    <t>camnguyendn123@gmail.com</t>
  </si>
  <si>
    <t>thudung.drpm@gmail.com</t>
  </si>
  <si>
    <t>truongbichthuan069@gmail.com</t>
  </si>
  <si>
    <t>tvh1404@gmail.com</t>
  </si>
  <si>
    <t>vanquythuan1995@gmail.com</t>
  </si>
  <si>
    <t>vanthiyen.duoc@gmail.com</t>
  </si>
  <si>
    <t>giangvokdqt@gmail.com</t>
  </si>
  <si>
    <t>voduyhung1601@gmail.com</t>
  </si>
  <si>
    <t>thanhtan280291@gmail.com</t>
  </si>
  <si>
    <t>vothiduyle@gmail.com</t>
  </si>
  <si>
    <t>vokimlien07@gmail.com</t>
  </si>
  <si>
    <t>linhvtm1991@gmail.com</t>
  </si>
  <si>
    <t>vonghiaqn@gmail.com</t>
  </si>
  <si>
    <t>thuvohuy75@gmail.com</t>
  </si>
  <si>
    <t>trangcdcqnam@gmail.com</t>
  </si>
  <si>
    <t>votuyetnhung.bk@gmail.com</t>
  </si>
  <si>
    <t>vthoangsr@gmail.com</t>
  </si>
  <si>
    <t>vinhhaosrbcqn@gmail.com</t>
  </si>
  <si>
    <t>haunesta@gmail.com</t>
  </si>
  <si>
    <t>Vungochoangtk@gmail.com</t>
  </si>
  <si>
    <t>vunguyenthienthaco@gmail.com</t>
  </si>
  <si>
    <t>vuthanhhuyen121176@gmail.com</t>
  </si>
  <si>
    <t>truongngocsi.89@gmail.com</t>
  </si>
  <si>
    <t>tnkhanhhoa@gmail.com</t>
  </si>
  <si>
    <t>tranvanvutk@gmail.com</t>
  </si>
  <si>
    <t>trantanbuu7799@ gmail.com</t>
  </si>
  <si>
    <t>thangtrantk1@gmail.com</t>
  </si>
  <si>
    <t>quyenphan2506@gmail.com</t>
  </si>
  <si>
    <t>quynhquynh683@gmail.com</t>
  </si>
  <si>
    <t>xuananh130289@gmail.com</t>
  </si>
  <si>
    <t>nguyenngoc215@gmail.com</t>
  </si>
  <si>
    <t>dung3.27.2.1997@gmail.com</t>
  </si>
  <si>
    <t>hhnguyen0408@gmail.com</t>
  </si>
  <si>
    <t>nguyenthihoangtrinh25@gmail.com</t>
  </si>
  <si>
    <t>huynhnguyentan2@gmail.com</t>
  </si>
  <si>
    <t>nguyenlamnguyen270179@gmail.com</t>
  </si>
  <si>
    <t>maihuong199101@gmail.com</t>
  </si>
  <si>
    <t>phuongthaolethi1892@gmail.com</t>
  </si>
  <si>
    <t>uyenltp@danang.gov.vn</t>
  </si>
  <si>
    <t>hoainhu1071995@gmail.com</t>
  </si>
  <si>
    <t>bsninhntm@gmail.con</t>
  </si>
  <si>
    <t>001trang100@gmail.com</t>
  </si>
  <si>
    <t>huyenhuynh83@gmail.com</t>
  </si>
  <si>
    <t>huynhbathanh29@gmail.com</t>
  </si>
  <si>
    <t>drngoccam@gmail.com</t>
  </si>
  <si>
    <t>hovanthong104@gmail.com</t>
  </si>
  <si>
    <t>hotam78@gmail.com</t>
  </si>
  <si>
    <t>hothanhnhat111@gmail.com</t>
  </si>
  <si>
    <t>dothuha7789@gmail.com</t>
  </si>
  <si>
    <t>mr.thaidv@gmail.com</t>
  </si>
  <si>
    <t>haiytdpquangnam@gmail.com</t>
  </si>
  <si>
    <t>daopkhanhtoan@gmail.com</t>
  </si>
  <si>
    <t>Nguyenleanhkhoank94@gmail.com</t>
  </si>
  <si>
    <t>buithitycdc@gmail.com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</si>
</sst>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0;[Red]0"/>
    <numFmt numFmtId="165" formatCode="000000000"/>
    <numFmt numFmtId="166" formatCode="_(* #,##0_);_(* \(#,##0\);_(* &quot;-&quot;??_);_(@_)"/>
    <numFmt numFmtId="167" formatCode="#,##0;[Red]#,##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u/>
      <sz val="1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sz val="10"/>
      <name val="Arial"/>
      <family val="2"/>
    </font>
    <font>
      <sz val="11"/>
      <color rgb="FF081B3A"/>
      <name val="Times New Roman"/>
      <family val="1"/>
    </font>
    <font>
      <sz val="11"/>
      <color rgb="FFFF0000"/>
      <name val="Times New Roman"/>
      <family val="1"/>
    </font>
    <font>
      <b/>
      <sz val="12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3" fontId="2" fillId="0" borderId="0"/>
    <xf numFmtId="0" fontId="7" fillId="0" borderId="0"/>
    <xf numFmtId="0" fontId="7" fillId="0" borderId="0"/>
  </cellStyleXfs>
  <cellXfs count="82">
    <xf numFmtId="0" fontId="0" fillId="0" borderId="0" xfId="0"/>
    <xf numFmtId="3" fontId="2" fillId="0" borderId="0" xfId="2" applyAlignment="1">
      <alignment horizontal="center"/>
    </xf>
    <xf numFmtId="3" fontId="2" fillId="0" borderId="0" xfId="2"/>
    <xf numFmtId="3" fontId="3" fillId="0" borderId="0" xfId="2" applyFont="1"/>
    <xf numFmtId="164" fontId="2" fillId="2" borderId="0" xfId="0" applyNumberFormat="1" applyFont="1" applyFill="1" applyAlignment="1">
      <alignment horizontal="right"/>
    </xf>
    <xf numFmtId="3" fontId="2" fillId="0" borderId="1" xfId="2" applyBorder="1" applyAlignment="1">
      <alignment horizontal="center" vertical="center" wrapText="1"/>
    </xf>
    <xf numFmtId="3" fontId="2" fillId="0" borderId="2" xfId="2" applyBorder="1" applyAlignment="1">
      <alignment horizontal="center" vertical="center" wrapText="1"/>
    </xf>
    <xf numFmtId="165" fontId="2" fillId="0" borderId="2" xfId="2" applyNumberFormat="1" applyBorder="1" applyAlignment="1">
      <alignment horizontal="center" vertical="center" wrapText="1"/>
    </xf>
    <xf numFmtId="166" fontId="2" fillId="2" borderId="2" xfId="1" applyNumberFormat="1" applyFont="1" applyFill="1" applyBorder="1" applyAlignment="1">
      <alignment horizontal="center" vertical="center" wrapText="1"/>
    </xf>
    <xf numFmtId="3" fontId="4" fillId="0" borderId="0" xfId="2" applyFont="1" applyAlignment="1">
      <alignment horizontal="center" vertical="center" wrapText="1"/>
    </xf>
    <xf numFmtId="0" fontId="4" fillId="0" borderId="3" xfId="0" applyFont="1" applyBorder="1"/>
    <xf numFmtId="3" fontId="2" fillId="0" borderId="0" xfId="2" applyAlignment="1">
      <alignment horizontal="center" vertical="center" wrapText="1"/>
    </xf>
    <xf numFmtId="3" fontId="5" fillId="2" borderId="4" xfId="2" applyFont="1" applyFill="1" applyBorder="1" applyAlignment="1">
      <alignment horizontal="center" vertical="center" wrapText="1"/>
    </xf>
    <xf numFmtId="3" fontId="6" fillId="2" borderId="4" xfId="2" applyFont="1" applyFill="1" applyBorder="1" applyAlignment="1">
      <alignment horizontal="center" vertical="center"/>
    </xf>
    <xf numFmtId="0" fontId="6" fillId="2" borderId="4" xfId="3" applyFont="1" applyFill="1" applyBorder="1" applyAlignment="1">
      <alignment vertical="center"/>
    </xf>
    <xf numFmtId="0" fontId="6" fillId="2" borderId="4" xfId="3" applyFont="1" applyFill="1" applyBorder="1" applyAlignment="1">
      <alignment horizontal="right" vertical="center"/>
    </xf>
    <xf numFmtId="166" fontId="2" fillId="0" borderId="4" xfId="1" applyNumberFormat="1" applyFont="1" applyBorder="1" applyAlignment="1"/>
    <xf numFmtId="3" fontId="6" fillId="2" borderId="4" xfId="2" applyFont="1" applyFill="1" applyBorder="1" applyAlignment="1">
      <alignment horizontal="center" vertical="center" wrapText="1"/>
    </xf>
    <xf numFmtId="3" fontId="5" fillId="2" borderId="0" xfId="2" applyFont="1" applyFill="1" applyAlignment="1">
      <alignment horizontal="center" vertical="center" wrapText="1"/>
    </xf>
    <xf numFmtId="3" fontId="5" fillId="2" borderId="5" xfId="2" applyFont="1" applyFill="1" applyBorder="1" applyAlignment="1">
      <alignment horizontal="center" vertical="center" wrapText="1"/>
    </xf>
    <xf numFmtId="3" fontId="6" fillId="2" borderId="5" xfId="2" applyFont="1" applyFill="1" applyBorder="1" applyAlignment="1">
      <alignment horizontal="center" vertical="center"/>
    </xf>
    <xf numFmtId="3" fontId="6" fillId="0" borderId="5" xfId="0" applyNumberFormat="1" applyFont="1" applyBorder="1" applyAlignment="1">
      <alignment vertical="center" wrapText="1"/>
    </xf>
    <xf numFmtId="0" fontId="6" fillId="0" borderId="5" xfId="0" applyFont="1" applyBorder="1" applyAlignment="1">
      <alignment horizontal="right" vertical="center" wrapText="1"/>
    </xf>
    <xf numFmtId="166" fontId="2" fillId="0" borderId="5" xfId="1" applyNumberFormat="1" applyFont="1" applyBorder="1" applyAlignment="1"/>
    <xf numFmtId="3" fontId="6" fillId="2" borderId="5" xfId="2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left" vertical="center" wrapText="1"/>
    </xf>
    <xf numFmtId="0" fontId="6" fillId="2" borderId="5" xfId="3" applyFont="1" applyFill="1" applyBorder="1" applyAlignment="1">
      <alignment vertical="center"/>
    </xf>
    <xf numFmtId="0" fontId="6" fillId="2" borderId="5" xfId="3" applyFont="1" applyFill="1" applyBorder="1" applyAlignment="1">
      <alignment horizontal="right" vertical="center"/>
    </xf>
    <xf numFmtId="0" fontId="6" fillId="0" borderId="5" xfId="4" applyFont="1" applyBorder="1" applyAlignment="1">
      <alignment horizontal="left" vertical="center"/>
    </xf>
    <xf numFmtId="0" fontId="6" fillId="0" borderId="5" xfId="0" applyFont="1" applyBorder="1" applyAlignment="1">
      <alignment horizontal="right"/>
    </xf>
    <xf numFmtId="0" fontId="6" fillId="0" borderId="5" xfId="4" applyFont="1" applyBorder="1" applyAlignment="1">
      <alignment horizontal="left" vertical="center" wrapText="1"/>
    </xf>
    <xf numFmtId="0" fontId="6" fillId="0" borderId="5" xfId="0" applyFont="1" applyBorder="1" applyAlignment="1">
      <alignment vertical="center" wrapText="1"/>
    </xf>
    <xf numFmtId="3" fontId="5" fillId="0" borderId="5" xfId="2" applyFont="1" applyBorder="1" applyAlignment="1">
      <alignment horizontal="center" vertical="center" wrapText="1"/>
    </xf>
    <xf numFmtId="0" fontId="6" fillId="0" borderId="5" xfId="3" applyFont="1" applyBorder="1" applyAlignment="1">
      <alignment vertical="center"/>
    </xf>
    <xf numFmtId="0" fontId="6" fillId="0" borderId="5" xfId="3" applyFont="1" applyBorder="1" applyAlignment="1">
      <alignment horizontal="right" vertical="center"/>
    </xf>
    <xf numFmtId="3" fontId="6" fillId="2" borderId="5" xfId="2" applyFont="1" applyFill="1" applyBorder="1" applyAlignment="1">
      <alignment horizontal="center"/>
    </xf>
    <xf numFmtId="3" fontId="6" fillId="0" borderId="5" xfId="2" applyFont="1" applyBorder="1" applyAlignment="1">
      <alignment vertical="center"/>
    </xf>
    <xf numFmtId="164" fontId="6" fillId="0" borderId="5" xfId="1" applyNumberFormat="1" applyFont="1" applyBorder="1" applyAlignment="1">
      <alignment horizontal="right"/>
    </xf>
    <xf numFmtId="3" fontId="5" fillId="2" borderId="5" xfId="2" applyFont="1" applyFill="1" applyBorder="1" applyAlignment="1">
      <alignment horizontal="center"/>
    </xf>
    <xf numFmtId="3" fontId="6" fillId="0" borderId="5" xfId="2" applyFont="1" applyBorder="1" applyAlignment="1">
      <alignment horizontal="left" vertical="center" wrapText="1"/>
    </xf>
    <xf numFmtId="0" fontId="6" fillId="0" borderId="5" xfId="4" applyFont="1" applyBorder="1" applyAlignment="1">
      <alignment vertical="center" wrapText="1"/>
    </xf>
    <xf numFmtId="3" fontId="6" fillId="0" borderId="5" xfId="0" applyNumberFormat="1" applyFont="1" applyBorder="1" applyAlignment="1">
      <alignment horizontal="left" vertical="center" wrapText="1"/>
    </xf>
    <xf numFmtId="0" fontId="2" fillId="0" borderId="5" xfId="3" applyFont="1" applyBorder="1" applyAlignment="1">
      <alignment vertical="center"/>
    </xf>
    <xf numFmtId="0" fontId="8" fillId="0" borderId="5" xfId="0" applyFont="1" applyBorder="1"/>
    <xf numFmtId="0" fontId="6" fillId="0" borderId="5" xfId="0" applyFont="1" applyBorder="1" applyAlignment="1">
      <alignment horizontal="left" vertical="center"/>
    </xf>
    <xf numFmtId="0" fontId="6" fillId="0" borderId="5" xfId="0" applyFont="1" applyBorder="1" applyAlignment="1">
      <alignment horizontal="right" vertical="center"/>
    </xf>
    <xf numFmtId="0" fontId="2" fillId="0" borderId="5" xfId="0" applyFont="1" applyBorder="1" applyAlignment="1">
      <alignment horizontal="left" vertical="center"/>
    </xf>
    <xf numFmtId="165" fontId="2" fillId="0" borderId="5" xfId="2" applyNumberFormat="1" applyBorder="1" applyAlignment="1">
      <alignment horizontal="right" vertical="center"/>
    </xf>
    <xf numFmtId="0" fontId="6" fillId="0" borderId="5" xfId="0" quotePrefix="1" applyFont="1" applyBorder="1" applyAlignment="1">
      <alignment horizontal="right" vertical="center" wrapText="1"/>
    </xf>
    <xf numFmtId="1" fontId="6" fillId="0" borderId="5" xfId="0" applyNumberFormat="1" applyFont="1" applyBorder="1" applyAlignment="1">
      <alignment horizontal="right" vertical="center" wrapText="1"/>
    </xf>
    <xf numFmtId="0" fontId="6" fillId="0" borderId="5" xfId="0" applyFont="1" applyBorder="1" applyAlignment="1">
      <alignment horizontal="center" vertical="center"/>
    </xf>
    <xf numFmtId="0" fontId="9" fillId="0" borderId="5" xfId="3" applyFont="1" applyBorder="1" applyAlignment="1">
      <alignment vertical="center" wrapText="1"/>
    </xf>
    <xf numFmtId="1" fontId="2" fillId="2" borderId="5" xfId="2" applyNumberFormat="1" applyFill="1" applyBorder="1" applyAlignment="1">
      <alignment horizontal="right" vertical="center"/>
    </xf>
    <xf numFmtId="3" fontId="6" fillId="2" borderId="0" xfId="2" applyFont="1" applyFill="1"/>
    <xf numFmtId="3" fontId="5" fillId="2" borderId="6" xfId="2" applyFont="1" applyFill="1" applyBorder="1" applyAlignment="1">
      <alignment horizontal="center" vertical="center" wrapText="1"/>
    </xf>
    <xf numFmtId="3" fontId="5" fillId="2" borderId="7" xfId="2" applyFont="1" applyFill="1" applyBorder="1" applyAlignment="1">
      <alignment horizontal="center" vertical="center" wrapText="1"/>
    </xf>
    <xf numFmtId="3" fontId="6" fillId="2" borderId="6" xfId="2" applyFont="1" applyFill="1" applyBorder="1" applyAlignment="1">
      <alignment horizontal="center" vertical="center"/>
    </xf>
    <xf numFmtId="0" fontId="6" fillId="2" borderId="6" xfId="3" applyFont="1" applyFill="1" applyBorder="1" applyAlignment="1">
      <alignment vertical="center"/>
    </xf>
    <xf numFmtId="0" fontId="6" fillId="2" borderId="6" xfId="3" applyFont="1" applyFill="1" applyBorder="1" applyAlignment="1">
      <alignment horizontal="right" vertical="center"/>
    </xf>
    <xf numFmtId="166" fontId="2" fillId="0" borderId="6" xfId="1" applyNumberFormat="1" applyFont="1" applyBorder="1" applyAlignment="1"/>
    <xf numFmtId="3" fontId="6" fillId="2" borderId="6" xfId="2" applyFont="1" applyFill="1" applyBorder="1" applyAlignment="1">
      <alignment horizontal="center" vertical="center" wrapText="1"/>
    </xf>
    <xf numFmtId="3" fontId="5" fillId="2" borderId="1" xfId="2" applyFont="1" applyFill="1" applyBorder="1"/>
    <xf numFmtId="3" fontId="5" fillId="2" borderId="1" xfId="2" applyFont="1" applyFill="1" applyBorder="1" applyAlignment="1">
      <alignment horizontal="center"/>
    </xf>
    <xf numFmtId="3" fontId="5" fillId="2" borderId="1" xfId="2" applyFont="1" applyFill="1" applyBorder="1" applyAlignment="1">
      <alignment horizontal="right"/>
    </xf>
    <xf numFmtId="3" fontId="10" fillId="2" borderId="1" xfId="2" applyFont="1" applyFill="1" applyBorder="1" applyAlignment="1">
      <alignment horizontal="right"/>
    </xf>
    <xf numFmtId="3" fontId="5" fillId="2" borderId="0" xfId="2" applyFont="1" applyFill="1"/>
    <xf numFmtId="3" fontId="6" fillId="2" borderId="0" xfId="2" applyFont="1" applyFill="1" applyAlignment="1">
      <alignment horizontal="center"/>
    </xf>
    <xf numFmtId="3" fontId="6" fillId="2" borderId="0" xfId="2" applyFont="1" applyFill="1" applyAlignment="1">
      <alignment horizontal="right"/>
    </xf>
    <xf numFmtId="3" fontId="4" fillId="0" borderId="8" xfId="2" applyFont="1" applyBorder="1" applyAlignment="1">
      <alignment horizontal="right"/>
    </xf>
    <xf numFmtId="3" fontId="4" fillId="0" borderId="8" xfId="2" applyFont="1" applyBorder="1" applyAlignment="1">
      <alignment horizontal="left"/>
    </xf>
    <xf numFmtId="3" fontId="4" fillId="0" borderId="8" xfId="2" applyFont="1" applyBorder="1"/>
    <xf numFmtId="3" fontId="4" fillId="0" borderId="0" xfId="2" applyFont="1"/>
    <xf numFmtId="0" fontId="4" fillId="2" borderId="0" xfId="0" applyFont="1" applyFill="1"/>
    <xf numFmtId="3" fontId="4" fillId="2" borderId="0" xfId="2" applyFont="1" applyFill="1"/>
    <xf numFmtId="0" fontId="4" fillId="2" borderId="0" xfId="0" applyFont="1" applyFill="1" applyAlignment="1">
      <alignment horizontal="left"/>
    </xf>
    <xf numFmtId="0" fontId="4" fillId="0" borderId="0" xfId="2" applyNumberFormat="1" applyFont="1" applyAlignment="1">
      <alignment horizontal="center"/>
    </xf>
    <xf numFmtId="167" fontId="4" fillId="2" borderId="0" xfId="1" applyNumberFormat="1" applyFont="1" applyFill="1" applyAlignment="1"/>
    <xf numFmtId="3" fontId="2" fillId="2" borderId="0" xfId="2" applyFill="1"/>
    <xf numFmtId="3" fontId="2" fillId="2" borderId="1" xfId="2" applyFill="1" applyBorder="1" applyAlignment="1">
      <alignment horizontal="center" vertical="center" wrapText="1"/>
    </xf>
    <xf numFmtId="166" fontId="4" fillId="2" borderId="4" xfId="1" applyNumberFormat="1" applyFont="1" applyFill="1" applyBorder="1" applyAlignment="1">
      <alignment vertical="top"/>
    </xf>
    <xf numFmtId="166" fontId="4" fillId="2" borderId="5" xfId="1" applyNumberFormat="1" applyFont="1" applyFill="1" applyBorder="1" applyAlignment="1">
      <alignment vertical="top"/>
    </xf>
    <xf numFmtId="166" fontId="4" fillId="2" borderId="6" xfId="1" applyNumberFormat="1" applyFont="1" applyFill="1" applyBorder="1" applyAlignment="1">
      <alignment vertical="top"/>
    </xf>
  </cellXfs>
  <cellStyles count="5">
    <cellStyle name="Bình Thường_Luong 06" xfId="2" xr:uid="{6259FCA3-B653-4404-835A-5CA6196EB463}"/>
    <cellStyle name="Comma" xfId="1" builtinId="3"/>
    <cellStyle name="Normal" xfId="0" builtinId="0"/>
    <cellStyle name="Normal 2 2" xfId="4" xr:uid="{DAB0E2BB-E70D-4D31-92FD-A72BA1C3D635}"/>
    <cellStyle name="Normal_Lương 2014" xfId="3" xr:uid="{E5DA80A5-B24B-413F-B7A4-1E67D77C9453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THU&#7870;%202025\DANH%20S&#193;CH%20B&#7892;%20SUNG%20TH&#212;NG%20TIN%20XU&#7844;T%20CH&#7912;NG%20T&#7914;%20KH&#7844;U%20TR&#7914;%20THU&#7870;%20TNCN%20N&#258;M%202025.xlsx" TargetMode="External"/><Relationship Id="rId1" Type="http://schemas.openxmlformats.org/officeDocument/2006/relationships/externalLinkPath" Target="file:///D:\THU&#7870;%202025\DANH%20S&#193;CH%20B&#7892;%20SUNG%20TH&#212;NG%20TIN%20XU&#7844;T%20CH&#7912;NG%20T&#7914;%20KH&#7844;U%20TR&#7914;%20THU&#7870;%20TNCN%20N&#258;M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T CÁ NHÂN"/>
      <sheetName val="MST CHUẨN"/>
    </sheetNames>
    <sheetDataSet>
      <sheetData sheetId="0">
        <row r="3">
          <cell r="E3">
            <v>8888150718</v>
          </cell>
          <cell r="F3" t="str">
            <v>bslehang1981@gmail.com</v>
          </cell>
        </row>
        <row r="4">
          <cell r="E4">
            <v>5623447921</v>
          </cell>
          <cell r="F4" t="str">
            <v>cobala050691@gmail.com</v>
          </cell>
        </row>
        <row r="5">
          <cell r="E5">
            <v>8833369395</v>
          </cell>
          <cell r="F5" t="str">
            <v>huydichte@gmail.com</v>
          </cell>
        </row>
        <row r="6">
          <cell r="E6">
            <v>5623448818</v>
          </cell>
          <cell r="F6" t="str">
            <v>huynhthaodt@gmail.com</v>
          </cell>
        </row>
        <row r="7">
          <cell r="E7">
            <v>5623447994</v>
          </cell>
          <cell r="F7" t="str">
            <v>lai.nguyenthi84@gmail.com</v>
          </cell>
        </row>
        <row r="8">
          <cell r="E8">
            <v>5623448182</v>
          </cell>
          <cell r="F8" t="str">
            <v>lanhuongcdcqna@gmail.com</v>
          </cell>
        </row>
        <row r="9">
          <cell r="E9">
            <v>8833375730</v>
          </cell>
          <cell r="F9" t="str">
            <v>myloi010383@gmail.com</v>
          </cell>
        </row>
        <row r="10">
          <cell r="E10">
            <v>8873283276</v>
          </cell>
          <cell r="F10" t="str">
            <v>nguyenanhtuan.ytcc@gmail.com</v>
          </cell>
        </row>
        <row r="11">
          <cell r="E11">
            <v>5623455261</v>
          </cell>
          <cell r="F11" t="str">
            <v>nguyenkhuyen102014@gmail.com</v>
          </cell>
        </row>
        <row r="12">
          <cell r="E12">
            <v>8893373263</v>
          </cell>
          <cell r="F12" t="str">
            <v>thanhtan280291@gmail.com</v>
          </cell>
        </row>
        <row r="13">
          <cell r="E13">
            <v>8803378519</v>
          </cell>
          <cell r="F13" t="str">
            <v>thaomai372@gmail.com</v>
          </cell>
        </row>
        <row r="14">
          <cell r="E14">
            <v>8833373275</v>
          </cell>
          <cell r="F14" t="str">
            <v>thuy.dp0915@gmail.com</v>
          </cell>
        </row>
        <row r="15">
          <cell r="E15">
            <v>5623447930</v>
          </cell>
          <cell r="F15" t="str">
            <v>truongluu74@gmail.com</v>
          </cell>
        </row>
        <row r="16">
          <cell r="E16">
            <v>5611151098</v>
          </cell>
          <cell r="F16" t="str">
            <v>quynhanh8586@gmail.com</v>
          </cell>
        </row>
        <row r="17">
          <cell r="E17">
            <v>5611148850</v>
          </cell>
          <cell r="F17" t="str">
            <v>toanquoctran73@gmail,com</v>
          </cell>
        </row>
        <row r="18">
          <cell r="E18">
            <v>5611148771</v>
          </cell>
          <cell r="F18" t="str">
            <v>caomaiphuong94@gmail.com</v>
          </cell>
        </row>
        <row r="19">
          <cell r="E19">
            <v>5611149084</v>
          </cell>
          <cell r="F19" t="str">
            <v>nguyenanhhong1980qv@gmail.com</v>
          </cell>
        </row>
        <row r="20">
          <cell r="E20">
            <v>5611148364</v>
          </cell>
          <cell r="F20" t="str">
            <v>hungkdqt@gmail.com</v>
          </cell>
        </row>
        <row r="21">
          <cell r="E21">
            <v>5610703007</v>
          </cell>
          <cell r="F21" t="str">
            <v>thuyduyen1404@gmail.com</v>
          </cell>
        </row>
        <row r="22">
          <cell r="E22">
            <v>5610226328</v>
          </cell>
          <cell r="F22" t="str">
            <v>lethanhchung1965@gmail.com</v>
          </cell>
        </row>
        <row r="23">
          <cell r="E23">
            <v>5611148911</v>
          </cell>
          <cell r="F23" t="str">
            <v>maithaihoang575@gmail.com</v>
          </cell>
        </row>
        <row r="24">
          <cell r="E24">
            <v>5611151371</v>
          </cell>
          <cell r="F24" t="str">
            <v>quangminh163@gmail.com</v>
          </cell>
        </row>
        <row r="25">
          <cell r="E25">
            <v>5611150013</v>
          </cell>
          <cell r="F25" t="str">
            <v>ngongochanh1702@gmail.com</v>
          </cell>
        </row>
        <row r="26">
          <cell r="E26">
            <v>5611148869</v>
          </cell>
        </row>
        <row r="27">
          <cell r="E27">
            <v>5611149075</v>
          </cell>
          <cell r="F27" t="str">
            <v>chuong.vipdn@gmail.com</v>
          </cell>
        </row>
        <row r="28">
          <cell r="E28">
            <v>5623448711</v>
          </cell>
        </row>
        <row r="29">
          <cell r="E29">
            <v>5610225787</v>
          </cell>
        </row>
        <row r="30">
          <cell r="E30">
            <v>5611148902</v>
          </cell>
          <cell r="F30" t="str">
            <v>nguyenlamnguyen270179@gmail.com</v>
          </cell>
        </row>
        <row r="31">
          <cell r="E31">
            <v>5611148878</v>
          </cell>
        </row>
        <row r="32">
          <cell r="E32">
            <v>5623455030</v>
          </cell>
          <cell r="F32" t="str">
            <v>quyenphan2506@gmail.com</v>
          </cell>
        </row>
        <row r="33">
          <cell r="E33">
            <v>5623448748</v>
          </cell>
          <cell r="F33" t="str">
            <v>ctytthqnam@gmail.com</v>
          </cell>
        </row>
        <row r="34">
          <cell r="E34">
            <v>8893375046</v>
          </cell>
          <cell r="F34" t="str">
            <v>hoangminhhuy94@gmail.com</v>
          </cell>
        </row>
        <row r="35">
          <cell r="E35">
            <v>5623448793</v>
          </cell>
          <cell r="F35" t="str">
            <v>hoangnham83@gmail.com</v>
          </cell>
        </row>
        <row r="36">
          <cell r="E36">
            <v>8883379941</v>
          </cell>
          <cell r="F36" t="str">
            <v>tcgiahuy@gmail.com</v>
          </cell>
        </row>
        <row r="37">
          <cell r="E37">
            <v>5623464452</v>
          </cell>
          <cell r="F37" t="str">
            <v>Trungtinhdn95@gmail.com</v>
          </cell>
        </row>
        <row r="38">
          <cell r="E38">
            <v>5611531636</v>
          </cell>
          <cell r="F38" t="str">
            <v>trakehoachcdc@gmail.com</v>
          </cell>
        </row>
        <row r="39">
          <cell r="E39">
            <v>5610228412</v>
          </cell>
          <cell r="F39" t="str">
            <v>bnncdcdng@gmail.com</v>
          </cell>
        </row>
        <row r="40">
          <cell r="E40">
            <v>5610235519</v>
          </cell>
          <cell r="F40" t="str">
            <v>sunflower22280@gmail.com</v>
          </cell>
        </row>
        <row r="41">
          <cell r="E41">
            <v>5610226735</v>
          </cell>
          <cell r="F41" t="str">
            <v>duongammau@gmail.com</v>
          </cell>
        </row>
        <row r="42">
          <cell r="E42">
            <v>5610409305</v>
          </cell>
          <cell r="F42" t="str">
            <v>thanhhuong260485@gmail.com</v>
          </cell>
        </row>
        <row r="43">
          <cell r="E43">
            <v>5610228403</v>
          </cell>
          <cell r="F43" t="str">
            <v>doanbnndng@gmail.com</v>
          </cell>
        </row>
        <row r="44">
          <cell r="E44">
            <v>5610343397</v>
          </cell>
          <cell r="F44" t="str">
            <v>thanhnguyenhuu86@gmail.com</v>
          </cell>
        </row>
        <row r="45">
          <cell r="E45">
            <v>5611554572</v>
          </cell>
          <cell r="F45" t="str">
            <v>sanhyhdp98@gmail.com</v>
          </cell>
        </row>
        <row r="46">
          <cell r="E46">
            <v>8813369427</v>
          </cell>
          <cell r="F46" t="str">
            <v>hothanhnhat111@gmail.com</v>
          </cell>
        </row>
        <row r="47">
          <cell r="E47">
            <v>5620596763</v>
          </cell>
          <cell r="F47" t="str">
            <v>chautrinhthoaqn@gmail.com</v>
          </cell>
        </row>
        <row r="48">
          <cell r="E48">
            <v>5623448809</v>
          </cell>
          <cell r="F48" t="str">
            <v>mailoancdcdanang@gmail.com</v>
          </cell>
        </row>
        <row r="49">
          <cell r="E49">
            <v>8893381244</v>
          </cell>
          <cell r="F49" t="str">
            <v>phamduyphuongnhi@gmail.com</v>
          </cell>
        </row>
        <row r="50">
          <cell r="E50">
            <v>5623454860</v>
          </cell>
          <cell r="F50" t="str">
            <v>thuyngannguyen2012@gmail.com</v>
          </cell>
        </row>
        <row r="51">
          <cell r="E51">
            <v>5623448739</v>
          </cell>
          <cell r="F51" t="str">
            <v>trangcdcqnam@gmail.com</v>
          </cell>
        </row>
        <row r="52">
          <cell r="E52">
            <v>5624757836</v>
          </cell>
          <cell r="F52" t="str">
            <v>trunghieumed@gmail.com</v>
          </cell>
        </row>
        <row r="53">
          <cell r="E53">
            <v>8863369400</v>
          </cell>
          <cell r="F53" t="str">
            <v>vinhhaosrbcqn@gmail.com</v>
          </cell>
        </row>
        <row r="54">
          <cell r="E54">
            <v>5623455076</v>
          </cell>
          <cell r="F54" t="str">
            <v>vunguyenthienthaco@gmail.com</v>
          </cell>
        </row>
        <row r="55">
          <cell r="E55">
            <v>8823373260</v>
          </cell>
          <cell r="F55" t="str">
            <v>yennguyenpre@gmail.com</v>
          </cell>
        </row>
        <row r="56">
          <cell r="E56">
            <v>5610756199</v>
          </cell>
          <cell r="F56" t="str">
            <v>baoquyen0102@gmail.com</v>
          </cell>
        </row>
        <row r="57">
          <cell r="E57">
            <v>5611553700</v>
          </cell>
          <cell r="F57" t="str">
            <v>drpckha@gmail.com</v>
          </cell>
        </row>
        <row r="58">
          <cell r="E58">
            <v>5610226267</v>
          </cell>
          <cell r="F58" t="str">
            <v>mypham1966@gmail.com</v>
          </cell>
        </row>
        <row r="59">
          <cell r="E59">
            <v>5610756205</v>
          </cell>
          <cell r="F59" t="str">
            <v>yena178@gmail.com</v>
          </cell>
        </row>
        <row r="60">
          <cell r="E60">
            <v>5610219036</v>
          </cell>
          <cell r="F60" t="str">
            <v>mai177khoi@gmail.com</v>
          </cell>
        </row>
        <row r="61">
          <cell r="E61">
            <v>5610818433</v>
          </cell>
          <cell r="F61" t="str">
            <v>dqanh103@gmail.com</v>
          </cell>
        </row>
        <row r="62">
          <cell r="E62">
            <v>5611218072</v>
          </cell>
          <cell r="F62" t="str">
            <v>thinam.dnpm@gmail.com</v>
          </cell>
        </row>
        <row r="63">
          <cell r="E63">
            <v>5610570575</v>
          </cell>
          <cell r="F63" t="str">
            <v>truc1210@gmail.com</v>
          </cell>
        </row>
        <row r="64">
          <cell r="E64">
            <v>8884960371</v>
          </cell>
          <cell r="F64" t="str">
            <v>dung3.27.2.1997@gmail.com</v>
          </cell>
        </row>
        <row r="65">
          <cell r="E65">
            <v>5620212962</v>
          </cell>
          <cell r="F65" t="str">
            <v>bay.tt@cdcquangnam.vn</v>
          </cell>
        </row>
        <row r="66">
          <cell r="E66">
            <v>5623908923</v>
          </cell>
          <cell r="F66" t="str">
            <v>dolinhytcc@gmail.com</v>
          </cell>
        </row>
        <row r="67">
          <cell r="E67">
            <v>5620580270</v>
          </cell>
          <cell r="F67" t="str">
            <v>nguyenthidecdc@gmail.com</v>
          </cell>
        </row>
        <row r="68">
          <cell r="E68">
            <v>8863369419</v>
          </cell>
          <cell r="F68" t="str">
            <v>lethivanbsyhdp@gmail.com</v>
          </cell>
        </row>
        <row r="69">
          <cell r="E69">
            <v>8873369415</v>
          </cell>
          <cell r="F69" t="str">
            <v>Vungochoangtk@gmail.com</v>
          </cell>
        </row>
        <row r="70">
          <cell r="E70">
            <v>5611151070</v>
          </cell>
          <cell r="F70" t="str">
            <v>ngovanquang.dng@gmail.com</v>
          </cell>
        </row>
        <row r="71">
          <cell r="E71">
            <v>5611148179</v>
          </cell>
          <cell r="F71" t="str">
            <v>yeens81@gmail.com</v>
          </cell>
        </row>
        <row r="72">
          <cell r="E72">
            <v>5611150004</v>
          </cell>
          <cell r="F72" t="str">
            <v>htts101089@gmail.com</v>
          </cell>
        </row>
        <row r="73">
          <cell r="E73">
            <v>5610540897</v>
          </cell>
          <cell r="F73" t="str">
            <v>hoangphan7890@gmail.com</v>
          </cell>
        </row>
        <row r="74">
          <cell r="E74">
            <v>5611150208</v>
          </cell>
          <cell r="F74" t="str">
            <v>tranthiha171179@gmail.com</v>
          </cell>
        </row>
        <row r="75">
          <cell r="E75">
            <v>5611150323</v>
          </cell>
          <cell r="F75" t="str">
            <v>phuongvyphan87@gmail.com</v>
          </cell>
        </row>
        <row r="76">
          <cell r="E76">
            <v>5611149978</v>
          </cell>
          <cell r="F76" t="str">
            <v>phanthidung201987@gmail.com</v>
          </cell>
        </row>
        <row r="77">
          <cell r="E77">
            <v>5623588653</v>
          </cell>
          <cell r="F77" t="str">
            <v>diepcdc2025@gmail.com</v>
          </cell>
        </row>
        <row r="78">
          <cell r="E78">
            <v>5623448058</v>
          </cell>
          <cell r="F78" t="str">
            <v>kimqui630@gmail.com</v>
          </cell>
        </row>
        <row r="79">
          <cell r="E79">
            <v>8800561111</v>
          </cell>
          <cell r="F79" t="str">
            <v>Ngapharmacist89@gmail</v>
          </cell>
        </row>
        <row r="80">
          <cell r="E80">
            <v>5620600123</v>
          </cell>
          <cell r="F80" t="str">
            <v>nguyettran1277@gmail.com</v>
          </cell>
        </row>
        <row r="81">
          <cell r="E81">
            <v>5623447851</v>
          </cell>
          <cell r="F81" t="str">
            <v>thanhphucdc2510@gmail.com</v>
          </cell>
        </row>
        <row r="82">
          <cell r="E82">
            <v>8843380024</v>
          </cell>
          <cell r="F82" t="str">
            <v>thlongpharmacist@gmail.com</v>
          </cell>
        </row>
        <row r="83">
          <cell r="E83">
            <v>8883373273</v>
          </cell>
          <cell r="F83" t="str">
            <v>thuydtqnam@gmail.com</v>
          </cell>
        </row>
        <row r="84">
          <cell r="E84">
            <v>8873369409</v>
          </cell>
          <cell r="F84" t="str">
            <v>tinhskssqn@gmail.com</v>
          </cell>
        </row>
        <row r="85">
          <cell r="E85">
            <v>8853375729</v>
          </cell>
          <cell r="F85" t="str">
            <v>tothisach.220572@gmail.com</v>
          </cell>
        </row>
        <row r="86">
          <cell r="E86">
            <v>5623455128</v>
          </cell>
          <cell r="F86" t="str">
            <v>vanthiyen.duoc@gmail.com</v>
          </cell>
        </row>
        <row r="87">
          <cell r="E87">
            <v>5623448003</v>
          </cell>
          <cell r="F87" t="str">
            <v>Nguyenxuanhuong.dmx454@gmail.com</v>
          </cell>
        </row>
        <row r="88">
          <cell r="E88">
            <v>5611149905</v>
          </cell>
          <cell r="F88" t="str">
            <v>ntanhbinh@gmail.com</v>
          </cell>
        </row>
        <row r="89">
          <cell r="E89">
            <v>5611149880</v>
          </cell>
          <cell r="F89" t="str">
            <v>hagiang120582@gmail.com</v>
          </cell>
        </row>
        <row r="90">
          <cell r="E90">
            <v>5611149093</v>
          </cell>
          <cell r="F90" t="str">
            <v>daophucnguyen316@gmail.com</v>
          </cell>
        </row>
        <row r="91">
          <cell r="E91">
            <v>5611148841</v>
          </cell>
          <cell r="F91" t="str">
            <v>hiepnguyen1811ptv@gmail.com</v>
          </cell>
        </row>
        <row r="92">
          <cell r="E92">
            <v>5610277511</v>
          </cell>
          <cell r="F92" t="str">
            <v>chaugdskktnn@gmail.com</v>
          </cell>
        </row>
        <row r="93">
          <cell r="E93">
            <v>5610225167</v>
          </cell>
          <cell r="F93" t="str">
            <v>phuongkhanhpham80@gmail.com</v>
          </cell>
        </row>
        <row r="94">
          <cell r="E94">
            <v>5611149002</v>
          </cell>
          <cell r="F94" t="str">
            <v>chauduoccdc@gmail.com</v>
          </cell>
        </row>
        <row r="95">
          <cell r="E95">
            <v>5610229406</v>
          </cell>
          <cell r="F95" t="str">
            <v>annguyenytdp@gmail.com</v>
          </cell>
        </row>
        <row r="96">
          <cell r="E96">
            <v>5610226692</v>
          </cell>
          <cell r="F96" t="str">
            <v>nguyendinhquang79@gmai.com</v>
          </cell>
        </row>
        <row r="97">
          <cell r="E97">
            <v>5610056312</v>
          </cell>
          <cell r="F97" t="str">
            <v>thanhhang220474@gmail.com</v>
          </cell>
        </row>
        <row r="98">
          <cell r="E98">
            <v>5611149899</v>
          </cell>
          <cell r="F98" t="str">
            <v>vanluongthibich5@gmail.com</v>
          </cell>
        </row>
        <row r="99">
          <cell r="E99">
            <v>5610702970</v>
          </cell>
          <cell r="F99" t="str">
            <v>locleboy88@gmail.com</v>
          </cell>
        </row>
        <row r="100">
          <cell r="E100">
            <v>5611151159</v>
          </cell>
          <cell r="F100" t="str">
            <v>dothuha7789@gmail.com</v>
          </cell>
        </row>
        <row r="101">
          <cell r="E101">
            <v>8837401271</v>
          </cell>
          <cell r="F101" t="str">
            <v>hnhattan.95@gmail.com</v>
          </cell>
        </row>
        <row r="102">
          <cell r="E102">
            <v>8853279085</v>
          </cell>
          <cell r="F102" t="str">
            <v>cucong117@gmail.com</v>
          </cell>
        </row>
        <row r="103">
          <cell r="E103">
            <v>5623455191</v>
          </cell>
          <cell r="F103" t="str">
            <v>ledungkdqt@gmail.com</v>
          </cell>
        </row>
        <row r="104">
          <cell r="E104">
            <v>8853369408</v>
          </cell>
          <cell r="F104" t="str">
            <v>loitkqn1985@gmail.com</v>
          </cell>
        </row>
        <row r="105">
          <cell r="E105">
            <v>8853278884</v>
          </cell>
          <cell r="F105" t="str">
            <v>nhuyytdp@gmail.com</v>
          </cell>
        </row>
        <row r="106">
          <cell r="E106">
            <v>8843369418</v>
          </cell>
          <cell r="F106" t="str">
            <v>phanbuu72@gmail.com</v>
          </cell>
        </row>
        <row r="107">
          <cell r="E107">
            <v>5623455243</v>
          </cell>
          <cell r="F107" t="str">
            <v>tuyendangquang@gmail.com</v>
          </cell>
        </row>
        <row r="108">
          <cell r="E108">
            <v>8813369423</v>
          </cell>
          <cell r="F108" t="str">
            <v>tuyetanhkdytcdcdanang@gmail.com</v>
          </cell>
        </row>
        <row r="109">
          <cell r="E109">
            <v>8863369404</v>
          </cell>
          <cell r="F109" t="str">
            <v>vanviet121942510@gmail.com</v>
          </cell>
        </row>
        <row r="110">
          <cell r="E110">
            <v>5611150934</v>
          </cell>
          <cell r="F110" t="str">
            <v>Toviethung1990@gmail.com</v>
          </cell>
        </row>
        <row r="111">
          <cell r="E111">
            <v>5611148355</v>
          </cell>
          <cell r="F111" t="str">
            <v>duongduchoang70@gmail.com</v>
          </cell>
        </row>
        <row r="112">
          <cell r="E112">
            <v>5611148513</v>
          </cell>
          <cell r="F112" t="str">
            <v>hongkdqt@gmail.com</v>
          </cell>
        </row>
        <row r="113">
          <cell r="E113">
            <v>5610220542</v>
          </cell>
          <cell r="F113" t="str">
            <v>vinhnd1@danang.gov.vn</v>
          </cell>
        </row>
        <row r="114">
          <cell r="E114">
            <v>5611273840</v>
          </cell>
          <cell r="F114" t="str">
            <v>Ongvananh112@gmail.com</v>
          </cell>
        </row>
        <row r="115">
          <cell r="E115">
            <v>5611148434</v>
          </cell>
          <cell r="F115" t="str">
            <v>Taduccuong90@gmail.com</v>
          </cell>
        </row>
        <row r="116">
          <cell r="E116">
            <v>5611150925</v>
          </cell>
          <cell r="F116" t="str">
            <v>kimanh16102911@gmail.com</v>
          </cell>
        </row>
        <row r="117">
          <cell r="E117">
            <v>5611148416</v>
          </cell>
          <cell r="F117" t="str">
            <v>thuhienkdqt84@gmail.com</v>
          </cell>
        </row>
        <row r="118">
          <cell r="E118">
            <v>5611148337</v>
          </cell>
          <cell r="F118" t="str">
            <v>kimloi10291@gmail.com</v>
          </cell>
        </row>
        <row r="119">
          <cell r="E119">
            <v>5611148373</v>
          </cell>
          <cell r="F119" t="str">
            <v>tuyetsuong0406@gmail.com</v>
          </cell>
        </row>
        <row r="120">
          <cell r="E120">
            <v>5611148504</v>
          </cell>
          <cell r="F120" t="str">
            <v>Que89kdqt@gmail.com</v>
          </cell>
        </row>
        <row r="121">
          <cell r="E121">
            <v>5611148470</v>
          </cell>
          <cell r="F121" t="str">
            <v>thaivietloikdqt@gmail.com</v>
          </cell>
        </row>
        <row r="122">
          <cell r="E122">
            <v>5611148498</v>
          </cell>
          <cell r="F122" t="str">
            <v>giangvokdqt@gmail.com</v>
          </cell>
        </row>
        <row r="123">
          <cell r="E123">
            <v>5611151043</v>
          </cell>
          <cell r="F123" t="str">
            <v>hoaithu30504@gmail.com</v>
          </cell>
        </row>
        <row r="124">
          <cell r="E124">
            <v>5611150961</v>
          </cell>
          <cell r="F124" t="str">
            <v>lanhkdytqt2014@gmail.com</v>
          </cell>
        </row>
        <row r="125">
          <cell r="E125">
            <v>5611148249</v>
          </cell>
          <cell r="F125" t="str">
            <v>Nguyenvluong1991@gmail.com</v>
          </cell>
        </row>
        <row r="126">
          <cell r="E126">
            <v>5611148221</v>
          </cell>
          <cell r="F126" t="str">
            <v>lienkdqt@gmail.com</v>
          </cell>
        </row>
        <row r="127">
          <cell r="E127">
            <v>5611148212</v>
          </cell>
          <cell r="F127" t="str">
            <v>myhanhdn1912@gmail.com</v>
          </cell>
        </row>
        <row r="128">
          <cell r="E128">
            <v>5611148443</v>
          </cell>
          <cell r="F128" t="str">
            <v>Pt.viet2310@gmail.com</v>
          </cell>
        </row>
        <row r="129">
          <cell r="E129">
            <v>5611148407</v>
          </cell>
          <cell r="F129" t="str">
            <v>diepdo286@gmail.com</v>
          </cell>
        </row>
        <row r="130">
          <cell r="E130">
            <v>5611148957</v>
          </cell>
          <cell r="F130" t="str">
            <v>Thangcdcdna@gmail.com</v>
          </cell>
        </row>
        <row r="131">
          <cell r="E131">
            <v>5611148391</v>
          </cell>
          <cell r="F131" t="str">
            <v>thudung.drpm@gmail.com</v>
          </cell>
        </row>
        <row r="132">
          <cell r="E132">
            <v>5620212698</v>
          </cell>
          <cell r="F132" t="str">
            <v>Chautram1412@gmail.com</v>
          </cell>
        </row>
        <row r="133">
          <cell r="E133">
            <v>8843369420</v>
          </cell>
          <cell r="F133" t="str">
            <v>hothisuongytcc@gmail.com</v>
          </cell>
        </row>
        <row r="134">
          <cell r="E134">
            <v>5623462720</v>
          </cell>
          <cell r="F134" t="str">
            <v>phanninaxn@gmail.com</v>
          </cell>
        </row>
        <row r="135">
          <cell r="E135">
            <v>5623448784</v>
          </cell>
          <cell r="F135" t="str">
            <v>nguyenloicdcqnam@gmail.com</v>
          </cell>
        </row>
        <row r="136">
          <cell r="E136">
            <v>5624660350</v>
          </cell>
          <cell r="F136" t="str">
            <v>phannguyentralinh1998@gmail.com</v>
          </cell>
        </row>
        <row r="137">
          <cell r="E137">
            <v>8813280342</v>
          </cell>
          <cell r="F137" t="str">
            <v>Thanhtuhuynhqn@gmail.com</v>
          </cell>
        </row>
        <row r="138">
          <cell r="E138">
            <v>8833150607</v>
          </cell>
          <cell r="F138" t="str">
            <v>thaolynguyen1409@gmail.com</v>
          </cell>
        </row>
        <row r="139">
          <cell r="E139" t="str">
            <v>0973723864</v>
          </cell>
          <cell r="F139" t="str">
            <v>lethithuytien.cnsh1995@gmail.com</v>
          </cell>
        </row>
        <row r="140">
          <cell r="E140">
            <v>5611151140</v>
          </cell>
          <cell r="F140" t="str">
            <v>vuthanhhuyen121176@gmail.com</v>
          </cell>
        </row>
        <row r="141">
          <cell r="E141">
            <v>8887396184</v>
          </cell>
          <cell r="F141" t="str">
            <v>mtkchinh@gmail.com</v>
          </cell>
        </row>
        <row r="142">
          <cell r="E142">
            <v>8807398456</v>
          </cell>
          <cell r="F142" t="str">
            <v>quanganh302098@gmail.com</v>
          </cell>
        </row>
        <row r="143">
          <cell r="E143">
            <v>5611149057</v>
          </cell>
          <cell r="F143" t="str">
            <v>hoanpt.aidsdng@gmail.com</v>
          </cell>
        </row>
        <row r="144">
          <cell r="E144">
            <v>5611148276</v>
          </cell>
          <cell r="F144" t="str">
            <v>hathu16081993@gmail.com</v>
          </cell>
        </row>
        <row r="145">
          <cell r="E145">
            <v>8827397335</v>
          </cell>
          <cell r="F145" t="str">
            <v>dangngocanhdn114@gmail.com</v>
          </cell>
        </row>
        <row r="146">
          <cell r="E146">
            <v>8847402296</v>
          </cell>
          <cell r="F146" t="str">
            <v>minhloan2891991@gmail.com</v>
          </cell>
        </row>
        <row r="147">
          <cell r="E147">
            <v>8837399104</v>
          </cell>
          <cell r="F147" t="str">
            <v>hienltt11@danang.gov.vn</v>
          </cell>
        </row>
        <row r="148">
          <cell r="E148">
            <v>8837396231</v>
          </cell>
          <cell r="F148" t="str">
            <v>huongthita@gmail.com</v>
          </cell>
        </row>
        <row r="149">
          <cell r="E149">
            <v>5611151195</v>
          </cell>
          <cell r="F149" t="str">
            <v>chaugiang.dn1980@gmail.com</v>
          </cell>
        </row>
        <row r="150">
          <cell r="E150">
            <v>5610406069</v>
          </cell>
          <cell r="F150" t="str">
            <v>xhoadng@gmail.com</v>
          </cell>
        </row>
        <row r="151">
          <cell r="E151">
            <v>5611148230</v>
          </cell>
          <cell r="F151" t="str">
            <v>thucuyen.021@gmail.com</v>
          </cell>
        </row>
        <row r="152">
          <cell r="E152">
            <v>8837397185</v>
          </cell>
          <cell r="F152" t="str">
            <v>hothanhtung09sh@gmail.com</v>
          </cell>
        </row>
        <row r="153">
          <cell r="E153">
            <v>8887397187</v>
          </cell>
          <cell r="F153" t="str">
            <v>lamthinhanh@gmail.com</v>
          </cell>
        </row>
        <row r="154">
          <cell r="E154">
            <v>5610475698</v>
          </cell>
          <cell r="F154" t="str">
            <v>doichthanh87@gmail.com</v>
          </cell>
        </row>
        <row r="155">
          <cell r="E155">
            <v>5611611316</v>
          </cell>
          <cell r="F155" t="str">
            <v>phanvansang94@gmail.com</v>
          </cell>
        </row>
        <row r="156">
          <cell r="E156" t="str">
            <v>0858887888</v>
          </cell>
          <cell r="F156" t="str">
            <v>kimphu7998@gmail.com</v>
          </cell>
        </row>
        <row r="157">
          <cell r="E157">
            <v>8847397566</v>
          </cell>
          <cell r="F157" t="str">
            <v>lamquynh2512@gmail.com</v>
          </cell>
        </row>
        <row r="158">
          <cell r="E158" t="str">
            <v>0935593353</v>
          </cell>
          <cell r="F158" t="str">
            <v>hclhcl0@gmail.com</v>
          </cell>
        </row>
        <row r="159">
          <cell r="E159">
            <v>8874322055</v>
          </cell>
          <cell r="F159" t="str">
            <v>daopkhanhtoan@gmail.com</v>
          </cell>
        </row>
        <row r="160">
          <cell r="E160">
            <v>8891499807</v>
          </cell>
          <cell r="F160" t="str">
            <v>mr.thaidv@gmail.com</v>
          </cell>
        </row>
        <row r="161">
          <cell r="E161">
            <v>5610702943</v>
          </cell>
          <cell r="F161" t="str">
            <v>phuongthaolethi1892@gmail.com</v>
          </cell>
        </row>
        <row r="162">
          <cell r="E162">
            <v>8833369403</v>
          </cell>
          <cell r="F162" t="str">
            <v>tranvanvutk@gmail.com</v>
          </cell>
        </row>
        <row r="163">
          <cell r="E163">
            <v>8833369430</v>
          </cell>
          <cell r="F163" t="str">
            <v>dothanhtuyen0611@gmail.com</v>
          </cell>
        </row>
        <row r="164">
          <cell r="E164">
            <v>8883369405</v>
          </cell>
          <cell r="F164" t="str">
            <v>drnguyenminhtuan@gmail.com</v>
          </cell>
        </row>
        <row r="165">
          <cell r="E165">
            <v>5624629528</v>
          </cell>
          <cell r="F165" t="str">
            <v>Duyenmai1703@gmail.com</v>
          </cell>
        </row>
        <row r="166">
          <cell r="E166">
            <v>8803379224</v>
          </cell>
          <cell r="F166" t="str">
            <v>Lethilanh692@gmail.com</v>
          </cell>
        </row>
        <row r="167">
          <cell r="E167">
            <v>8823369413</v>
          </cell>
          <cell r="F167" t="str">
            <v>longcanht4g@gmail.com</v>
          </cell>
        </row>
        <row r="168">
          <cell r="E168">
            <v>8893369401</v>
          </cell>
          <cell r="F168" t="str">
            <v>nguyenhanhdt79@gmail.com</v>
          </cell>
        </row>
        <row r="169">
          <cell r="E169">
            <v>5623454958</v>
          </cell>
          <cell r="F169" t="str">
            <v>nguyenthuthao014@gmail.com</v>
          </cell>
        </row>
        <row r="170">
          <cell r="E170">
            <v>5610241507</v>
          </cell>
          <cell r="F170" t="str">
            <v>kimoanhtran83@gmail.com</v>
          </cell>
        </row>
        <row r="171">
          <cell r="E171">
            <v>5611309657</v>
          </cell>
          <cell r="F171" t="str">
            <v>Trandamthinh@gmail.com</v>
          </cell>
        </row>
        <row r="172">
          <cell r="E172">
            <v>5610277520</v>
          </cell>
          <cell r="F172" t="str">
            <v>t4gchau@gmail.com</v>
          </cell>
        </row>
        <row r="173">
          <cell r="E173">
            <v>5610085501</v>
          </cell>
          <cell r="F173" t="str">
            <v>baongoc1102@gmail.com</v>
          </cell>
        </row>
        <row r="174">
          <cell r="E174">
            <v>5610226762</v>
          </cell>
          <cell r="F174" t="str">
            <v>nguyenthiphuongbisaka1978@gmail.com</v>
          </cell>
        </row>
        <row r="175">
          <cell r="E175">
            <v>5610559495</v>
          </cell>
          <cell r="F175" t="str">
            <v>pttm989@gmail.com</v>
          </cell>
        </row>
        <row r="176">
          <cell r="E176">
            <v>5601958557</v>
          </cell>
          <cell r="F176" t="str">
            <v>hoainhu1071995@gmail.com</v>
          </cell>
        </row>
        <row r="177">
          <cell r="E177">
            <v>8853369414</v>
          </cell>
          <cell r="F177" t="str">
            <v>duongquocthaotk92@gmail.com</v>
          </cell>
        </row>
        <row r="178">
          <cell r="E178">
            <v>5623455216</v>
          </cell>
          <cell r="F178" t="str">
            <v>hungdai1608@gmail.com</v>
          </cell>
        </row>
        <row r="179">
          <cell r="E179">
            <v>5623455234</v>
          </cell>
          <cell r="F179" t="str">
            <v>nguyenphuoclamsr@gmail.com</v>
          </cell>
        </row>
        <row r="180">
          <cell r="E180">
            <v>8893369416</v>
          </cell>
          <cell r="F180" t="str">
            <v>tiennn5@danang.gov.vn</v>
          </cell>
        </row>
        <row r="181">
          <cell r="E181">
            <v>8803369412</v>
          </cell>
          <cell r="F181" t="str">
            <v>tycomtk@gmail.com</v>
          </cell>
        </row>
        <row r="182">
          <cell r="E182">
            <v>5610226188</v>
          </cell>
          <cell r="F182" t="str">
            <v>nguyenducvinh1982dn@gmail.com</v>
          </cell>
        </row>
        <row r="183">
          <cell r="E183">
            <v>8831057555</v>
          </cell>
          <cell r="F183" t="str">
            <v>bsphuoc1977@gmail.com</v>
          </cell>
        </row>
        <row r="184">
          <cell r="E184">
            <v>5610702925</v>
          </cell>
          <cell r="F184" t="str">
            <v>nguyenthingocbich103tt@gmail.com</v>
          </cell>
        </row>
        <row r="185">
          <cell r="E185">
            <v>5611151131</v>
          </cell>
          <cell r="F185" t="str">
            <v>phanthanh299@gmail.com</v>
          </cell>
        </row>
        <row r="186">
          <cell r="E186">
            <v>5610702952</v>
          </cell>
          <cell r="F186" t="str">
            <v>khoidam88@gmail.com</v>
          </cell>
        </row>
        <row r="187">
          <cell r="E187">
            <v>5611151061</v>
          </cell>
          <cell r="F187" t="str">
            <v>phansyminh92@gmail.com</v>
          </cell>
        </row>
        <row r="188">
          <cell r="E188">
            <v>5611148133</v>
          </cell>
          <cell r="F188" t="str">
            <v>haunesta@gmail.com</v>
          </cell>
        </row>
        <row r="189">
          <cell r="E189">
            <v>5622084264</v>
          </cell>
          <cell r="F189" t="str">
            <v>bsninhntm@gmail.con</v>
          </cell>
        </row>
        <row r="190">
          <cell r="E190">
            <v>8833375728</v>
          </cell>
          <cell r="F190" t="str">
            <v>hothithuhuyen710252@gmail.com</v>
          </cell>
        </row>
        <row r="191">
          <cell r="E191">
            <v>5620062714</v>
          </cell>
          <cell r="F191" t="str">
            <v>hpquang2021@gmail.com</v>
          </cell>
        </row>
        <row r="192">
          <cell r="E192">
            <v>8843369424</v>
          </cell>
          <cell r="F192" t="str">
            <v>Lientrancdc@gmail.com</v>
          </cell>
        </row>
        <row r="193">
          <cell r="E193">
            <v>5611148531</v>
          </cell>
          <cell r="F193" t="str">
            <v>Menlethi1992@gmail.com</v>
          </cell>
        </row>
        <row r="194">
          <cell r="E194">
            <v>8803373278</v>
          </cell>
          <cell r="F194" t="str">
            <v>phuongnguyent52@gmail.com</v>
          </cell>
        </row>
        <row r="195">
          <cell r="E195">
            <v>5623447958</v>
          </cell>
          <cell r="F195" t="str">
            <v>thivankt@gmail.com</v>
          </cell>
        </row>
        <row r="196">
          <cell r="E196">
            <v>8813369402</v>
          </cell>
          <cell r="F196" t="str">
            <v>tvh1404@gmail.com</v>
          </cell>
        </row>
        <row r="197">
          <cell r="E197">
            <v>8803005306</v>
          </cell>
          <cell r="F197" t="str">
            <v>uyentran412@gmail.com</v>
          </cell>
        </row>
        <row r="198">
          <cell r="E198">
            <v>5611149844</v>
          </cell>
          <cell r="F198" t="str">
            <v>htkd20@gmail.com</v>
          </cell>
        </row>
        <row r="199">
          <cell r="E199">
            <v>5610615500</v>
          </cell>
          <cell r="F199" t="str">
            <v>anhkimho@gmail.com</v>
          </cell>
        </row>
        <row r="200">
          <cell r="E200">
            <v>5610225769</v>
          </cell>
          <cell r="F200" t="str">
            <v>thuykhanhlinh2007@gmail.com.vn</v>
          </cell>
        </row>
        <row r="201">
          <cell r="E201">
            <v>5611148744</v>
          </cell>
          <cell r="F201" t="str">
            <v>binhttaids@gmail.com</v>
          </cell>
        </row>
        <row r="202">
          <cell r="E202">
            <v>5610225927</v>
          </cell>
          <cell r="F202" t="str">
            <v>phananhthu79@gmai.com</v>
          </cell>
        </row>
        <row r="203">
          <cell r="E203">
            <v>5610597574</v>
          </cell>
          <cell r="F203" t="str">
            <v>Phamphuan1987@gmail.com</v>
          </cell>
        </row>
        <row r="204">
          <cell r="E204">
            <v>5611149835</v>
          </cell>
          <cell r="F204" t="str">
            <v>lethivankieu88@gmail.com</v>
          </cell>
        </row>
        <row r="205">
          <cell r="E205">
            <v>5610228458</v>
          </cell>
          <cell r="F205" t="str">
            <v>lethimyphuong315@gmail.com</v>
          </cell>
        </row>
        <row r="206">
          <cell r="E206">
            <v>5611150952</v>
          </cell>
          <cell r="F206" t="str">
            <v>tramlqd@gmail.com</v>
          </cell>
        </row>
        <row r="207">
          <cell r="E207">
            <v>5610271151</v>
          </cell>
          <cell r="F207" t="str">
            <v>sautam71@gmail.com</v>
          </cell>
        </row>
        <row r="208">
          <cell r="E208">
            <v>5611149853</v>
          </cell>
          <cell r="F208" t="str">
            <v>mtthanhnga91@gmail.com</v>
          </cell>
        </row>
        <row r="209">
          <cell r="E209">
            <v>5611149109</v>
          </cell>
          <cell r="F209" t="str">
            <v>thhieu704.mtd@gmail.com</v>
          </cell>
        </row>
        <row r="210">
          <cell r="E210">
            <v>5610343625</v>
          </cell>
          <cell r="F210" t="str">
            <v>yenlyphan2012@gmail.com</v>
          </cell>
        </row>
        <row r="211">
          <cell r="E211">
            <v>5610577202</v>
          </cell>
          <cell r="F211" t="str">
            <v>vietquoc8283@gmail.com</v>
          </cell>
        </row>
        <row r="212">
          <cell r="E212">
            <v>8803369398</v>
          </cell>
          <cell r="F212" t="str">
            <v>lannhitv@gmail.com</v>
          </cell>
        </row>
        <row r="213">
          <cell r="E213">
            <v>8803369406</v>
          </cell>
          <cell r="F213" t="str">
            <v>thanhgiangt4g@gmail.com</v>
          </cell>
        </row>
        <row r="214">
          <cell r="E214">
            <v>8853369396</v>
          </cell>
          <cell r="F214" t="str">
            <v>thuphuongtv10@gmail.com</v>
          </cell>
        </row>
        <row r="215">
          <cell r="E215">
            <v>5601640395</v>
          </cell>
          <cell r="F215" t="str">
            <v>hangtrinh.1427@gmail.com</v>
          </cell>
        </row>
        <row r="216">
          <cell r="E216">
            <v>5623455793</v>
          </cell>
          <cell r="F216" t="str">
            <v>vthoangsr@gmail.com</v>
          </cell>
        </row>
        <row r="217">
          <cell r="E217">
            <v>5623455155</v>
          </cell>
          <cell r="F217" t="str">
            <v>doanminhphuoc1985@gmail.com</v>
          </cell>
        </row>
        <row r="218">
          <cell r="E218">
            <v>5623454912</v>
          </cell>
          <cell r="F218" t="str">
            <v>lethimyhanh16102038@gmail.com</v>
          </cell>
        </row>
        <row r="219">
          <cell r="E219">
            <v>8893369422</v>
          </cell>
          <cell r="F219" t="str">
            <v>lttac1995@gamil.com</v>
          </cell>
        </row>
        <row r="220">
          <cell r="E220">
            <v>5620580359</v>
          </cell>
          <cell r="F220" t="str">
            <v>nguyenthianh050884@gmail.com</v>
          </cell>
        </row>
        <row r="221">
          <cell r="E221">
            <v>5623448696</v>
          </cell>
          <cell r="F221" t="str">
            <v>nguyenthithuskssqn@gmail.com</v>
          </cell>
        </row>
        <row r="222">
          <cell r="E222">
            <v>5623449024</v>
          </cell>
          <cell r="F222" t="str">
            <v>nhshuyen@gmail.com</v>
          </cell>
        </row>
        <row r="223">
          <cell r="E223">
            <v>5623454949</v>
          </cell>
          <cell r="F223" t="str">
            <v>tdvu76@gmail.com</v>
          </cell>
        </row>
        <row r="224">
          <cell r="E224">
            <v>5623428999</v>
          </cell>
          <cell r="F224" t="str">
            <v>Thanhnhatyte@gmail.com</v>
          </cell>
        </row>
        <row r="225">
          <cell r="E225">
            <v>5623448766</v>
          </cell>
          <cell r="F225" t="str">
            <v>thuythuydp123@gmail.com</v>
          </cell>
        </row>
        <row r="226">
          <cell r="E226">
            <v>8843373271</v>
          </cell>
          <cell r="F226" t="str">
            <v>tranthithuba1973@gmail.com</v>
          </cell>
        </row>
        <row r="227">
          <cell r="E227">
            <v>8803327133</v>
          </cell>
          <cell r="F227" t="str">
            <v>tranthitothanh0510@gmail.com</v>
          </cell>
        </row>
        <row r="228">
          <cell r="E228">
            <v>5622712370</v>
          </cell>
          <cell r="F228" t="str">
            <v>truclinhqna14@gmail.com</v>
          </cell>
        </row>
        <row r="229">
          <cell r="E229">
            <v>5611149987</v>
          </cell>
          <cell r="F229" t="str">
            <v>dtmloan88@gmail.com</v>
          </cell>
        </row>
        <row r="230">
          <cell r="E230">
            <v>5611150314</v>
          </cell>
          <cell r="F230" t="str">
            <v>landovan69@gmail.com</v>
          </cell>
        </row>
        <row r="231">
          <cell r="E231">
            <v>5610475704</v>
          </cell>
          <cell r="F231" t="str">
            <v>ha010588.qn@gmail.com</v>
          </cell>
        </row>
        <row r="232">
          <cell r="E232">
            <v>5611150192</v>
          </cell>
          <cell r="F232" t="str">
            <v>hoangnguyenautran@gmail.com</v>
          </cell>
        </row>
        <row r="233">
          <cell r="E233">
            <v>5611151168</v>
          </cell>
          <cell r="F233" t="str">
            <v>namtrt.aidsdn@gmail.com</v>
          </cell>
        </row>
        <row r="234">
          <cell r="E234">
            <v>5610413458</v>
          </cell>
          <cell r="F234" t="str">
            <v>nalehoa@gmail.com</v>
          </cell>
        </row>
        <row r="235">
          <cell r="E235">
            <v>5611610322</v>
          </cell>
          <cell r="F235" t="str">
            <v>thuannd0695@gmail.com</v>
          </cell>
        </row>
        <row r="236">
          <cell r="E236">
            <v>5611150129</v>
          </cell>
        </row>
        <row r="237">
          <cell r="E237">
            <v>5611150235</v>
          </cell>
          <cell r="F237" t="str">
            <v>voxuanhan123@gmail.com</v>
          </cell>
        </row>
        <row r="238">
          <cell r="E238">
            <v>5611149923</v>
          </cell>
          <cell r="F238" t="str">
            <v>hathai284@gmail.com</v>
          </cell>
        </row>
        <row r="239">
          <cell r="E239">
            <v>5611040220</v>
          </cell>
          <cell r="F239" t="str">
            <v>voduyhung1601@gmail.com</v>
          </cell>
        </row>
        <row r="240">
          <cell r="E240">
            <v>5611150262</v>
          </cell>
          <cell r="F240" t="str">
            <v>nganskssdn92@gmail.com</v>
          </cell>
        </row>
        <row r="241">
          <cell r="E241">
            <v>5611150217</v>
          </cell>
          <cell r="F241" t="str">
            <v>doanthu2013@gmail.com</v>
          </cell>
        </row>
        <row r="242">
          <cell r="E242">
            <v>5611149969</v>
          </cell>
          <cell r="F242" t="str">
            <v>nguyenkhanhhong299@gmail.com</v>
          </cell>
        </row>
        <row r="243">
          <cell r="E243">
            <v>5611150271</v>
          </cell>
          <cell r="F243" t="str">
            <v>nguyenthiyen20473@gmail.com</v>
          </cell>
        </row>
        <row r="244">
          <cell r="E244">
            <v>5611150022</v>
          </cell>
          <cell r="F244" t="str">
            <v>phucphuong88@gmail.com</v>
          </cell>
        </row>
        <row r="245">
          <cell r="E245">
            <v>5610544002</v>
          </cell>
          <cell r="F245" t="str">
            <v>nguyennguyet20021970@gmail.com</v>
          </cell>
        </row>
        <row r="246">
          <cell r="E246">
            <v>5611149914</v>
          </cell>
          <cell r="F246" t="str">
            <v>bshuong65cdc@gmail.com</v>
          </cell>
        </row>
        <row r="247">
          <cell r="E247">
            <v>5611149950</v>
          </cell>
          <cell r="F247" t="str">
            <v>phuongthu1112@gmail.com</v>
          </cell>
        </row>
        <row r="248">
          <cell r="E248">
            <v>5610286784</v>
          </cell>
          <cell r="F248" t="str">
            <v>hienhoanghue@gmail.com</v>
          </cell>
        </row>
        <row r="249">
          <cell r="E249">
            <v>5611150031</v>
          </cell>
          <cell r="F249" t="str">
            <v>hiennguyenthi27041975@gmail.com</v>
          </cell>
        </row>
        <row r="250">
          <cell r="E250">
            <v>5611150040</v>
          </cell>
          <cell r="F250" t="str">
            <v>phohang050315@gmail.com</v>
          </cell>
        </row>
        <row r="251">
          <cell r="E251">
            <v>5611150077</v>
          </cell>
          <cell r="F251" t="str">
            <v>chaudang78@gmail.com</v>
          </cell>
        </row>
        <row r="252">
          <cell r="E252">
            <v>5611661737</v>
          </cell>
          <cell r="F252" t="str">
            <v>Thanhha79911@gmail.com</v>
          </cell>
        </row>
        <row r="253">
          <cell r="E253">
            <v>5611150332</v>
          </cell>
          <cell r="F253" t="str">
            <v>loanle21021986@gmail.com</v>
          </cell>
        </row>
        <row r="254">
          <cell r="E254">
            <v>5611150226</v>
          </cell>
          <cell r="F254" t="str">
            <v>kimthao27101988@gmail.com</v>
          </cell>
        </row>
        <row r="255">
          <cell r="E255">
            <v>5611150068</v>
          </cell>
          <cell r="F255" t="str">
            <v>vu45685@donga.edu.vn</v>
          </cell>
        </row>
        <row r="256">
          <cell r="E256">
            <v>5611590196</v>
          </cell>
          <cell r="F256" t="str">
            <v>phungthithanhbinh1994@gmail.com</v>
          </cell>
        </row>
        <row r="257">
          <cell r="E257">
            <v>5610226726</v>
          </cell>
          <cell r="F257" t="str">
            <v>dangthidieumy51@gmail.com</v>
          </cell>
        </row>
        <row r="258">
          <cell r="E258">
            <v>5611150086</v>
          </cell>
          <cell r="F258" t="str">
            <v>tt9622104@gmail.com</v>
          </cell>
        </row>
        <row r="259">
          <cell r="E259">
            <v>5611149996</v>
          </cell>
          <cell r="F259" t="str">
            <v>nguyenthiminhchi1990@gmail.com</v>
          </cell>
        </row>
        <row r="260">
          <cell r="E260">
            <v>5601640517</v>
          </cell>
          <cell r="F260" t="str">
            <v>huynhbathanh29@gmail.com</v>
          </cell>
        </row>
        <row r="261">
          <cell r="E261">
            <v>5611051994</v>
          </cell>
          <cell r="F261" t="str">
            <v>nghia164@gmail.com</v>
          </cell>
        </row>
        <row r="262">
          <cell r="E262">
            <v>5601640508</v>
          </cell>
          <cell r="F262" t="str">
            <v>maihuong199101@gmail.com</v>
          </cell>
        </row>
        <row r="263">
          <cell r="E263">
            <v>8854975438</v>
          </cell>
          <cell r="F263" t="str">
            <v>drngoccam@gmail.com</v>
          </cell>
        </row>
        <row r="264">
          <cell r="E264">
            <v>5611150059</v>
          </cell>
          <cell r="F264" t="str">
            <v>nguyenngoc215@gmail.com</v>
          </cell>
        </row>
        <row r="265">
          <cell r="E265">
            <v>5602105921</v>
          </cell>
          <cell r="F265" t="str">
            <v>quynhquynh683@gmail.com</v>
          </cell>
        </row>
        <row r="266">
          <cell r="E266">
            <v>8873369421</v>
          </cell>
          <cell r="F266" t="str">
            <v>camnguyendn123@gmail.com</v>
          </cell>
        </row>
        <row r="267">
          <cell r="E267">
            <v>8863373266</v>
          </cell>
          <cell r="F267" t="str">
            <v>dokieuchinhcdc@gmail.com</v>
          </cell>
        </row>
        <row r="268">
          <cell r="E268">
            <v>5623448702</v>
          </cell>
          <cell r="F268" t="str">
            <v>hadieuyen@gmail.com</v>
          </cell>
        </row>
        <row r="269">
          <cell r="E269">
            <v>8893373267</v>
          </cell>
          <cell r="F269" t="str">
            <v xml:space="preserve">lethivy169@gmail.com </v>
          </cell>
        </row>
        <row r="270">
          <cell r="E270">
            <v>5620580313</v>
          </cell>
          <cell r="F270" t="str">
            <v>thuvohuy75@gmail.com</v>
          </cell>
        </row>
        <row r="271">
          <cell r="E271">
            <v>8821479824</v>
          </cell>
          <cell r="F271" t="str">
            <v>vokimlien07@gmail.com</v>
          </cell>
        </row>
        <row r="272">
          <cell r="E272">
            <v>5611151256</v>
          </cell>
          <cell r="F272" t="str">
            <v>dangthimyle1985@gmail.com</v>
          </cell>
        </row>
        <row r="273">
          <cell r="E273">
            <v>5611149932</v>
          </cell>
          <cell r="F273" t="str">
            <v>phamkimdung70@gmail.com</v>
          </cell>
        </row>
        <row r="274">
          <cell r="E274">
            <v>5611149941</v>
          </cell>
          <cell r="F274" t="str">
            <v>thuyhuongskss.dn@gmail.com</v>
          </cell>
        </row>
        <row r="275">
          <cell r="E275">
            <v>5611542869</v>
          </cell>
          <cell r="F275" t="str">
            <v>phitrandn276@gmail.com</v>
          </cell>
        </row>
        <row r="276">
          <cell r="E276">
            <v>5611149862</v>
          </cell>
          <cell r="F276" t="str">
            <v>truongbichthuan069@gmail.com</v>
          </cell>
        </row>
        <row r="277">
          <cell r="E277">
            <v>5611151335</v>
          </cell>
          <cell r="F277" t="str">
            <v>dathaotran0403@gmail.com</v>
          </cell>
        </row>
        <row r="278">
          <cell r="E278">
            <v>5611151432</v>
          </cell>
          <cell r="F278" t="str">
            <v>lethimydung5@gmail.com</v>
          </cell>
        </row>
        <row r="279">
          <cell r="E279">
            <v>5611150095</v>
          </cell>
          <cell r="F279" t="str">
            <v>duongmuoi81973@gmail.com</v>
          </cell>
        </row>
        <row r="280">
          <cell r="E280">
            <v>5611150299</v>
          </cell>
          <cell r="F280" t="str">
            <v>hovanthong104@gmail.com</v>
          </cell>
        </row>
        <row r="281">
          <cell r="E281">
            <v>5611150280</v>
          </cell>
        </row>
        <row r="282">
          <cell r="E282">
            <v>5611148188</v>
          </cell>
        </row>
        <row r="283">
          <cell r="E283">
            <v>5623456477</v>
          </cell>
          <cell r="F283" t="str">
            <v>havynguyen1987@gmail.com</v>
          </cell>
        </row>
        <row r="284">
          <cell r="E284">
            <v>5623447912</v>
          </cell>
          <cell r="F284" t="str">
            <v>hoangvietcdc0710@gmail.com</v>
          </cell>
        </row>
        <row r="285">
          <cell r="E285">
            <v>8843378585</v>
          </cell>
          <cell r="F285" t="str">
            <v>nguyenthanhminh252@gmail.com</v>
          </cell>
        </row>
        <row r="286">
          <cell r="E286">
            <v>5623468913</v>
          </cell>
          <cell r="F286" t="str">
            <v>tamtrandinh959@gmail.com</v>
          </cell>
        </row>
        <row r="287">
          <cell r="E287">
            <v>8843373265</v>
          </cell>
          <cell r="F287" t="str">
            <v>tranngoclinh121979@gmail.com</v>
          </cell>
        </row>
        <row r="288">
          <cell r="E288">
            <v>5611149020</v>
          </cell>
          <cell r="F288" t="str">
            <v>dangthituyen88@gmail.com</v>
          </cell>
        </row>
        <row r="289">
          <cell r="E289">
            <v>5610225875</v>
          </cell>
          <cell r="F289" t="str">
            <v>conghaiksbtdn@gmail.com</v>
          </cell>
        </row>
        <row r="290">
          <cell r="E290">
            <v>8877397594</v>
          </cell>
          <cell r="F290" t="str">
            <v>toannl1@danang.gov.vn</v>
          </cell>
        </row>
        <row r="291">
          <cell r="E291">
            <v>5611148151</v>
          </cell>
          <cell r="F291" t="str">
            <v>lient@danang.gov.vn</v>
          </cell>
        </row>
        <row r="292">
          <cell r="E292">
            <v>5611151308</v>
          </cell>
          <cell r="F292" t="str">
            <v>vietly81@gmail.com</v>
          </cell>
        </row>
        <row r="293">
          <cell r="E293">
            <v>5650100271</v>
          </cell>
          <cell r="F293" t="str">
            <v>trangnvt@danang.gov.vn</v>
          </cell>
        </row>
        <row r="294">
          <cell r="E294">
            <v>8847401631</v>
          </cell>
          <cell r="F294" t="str">
            <v>triht@danang.gov.vn</v>
          </cell>
        </row>
        <row r="295">
          <cell r="E295">
            <v>8877397306</v>
          </cell>
          <cell r="F295" t="str">
            <v>lamnp1@danang.gov.vn</v>
          </cell>
        </row>
        <row r="296">
          <cell r="E296">
            <v>8891646062</v>
          </cell>
          <cell r="F296" t="str">
            <v>phanchienthang.pct@gmail.com</v>
          </cell>
        </row>
        <row r="297">
          <cell r="E297">
            <v>8827397956</v>
          </cell>
          <cell r="F297" t="str">
            <v>phonln1@danang.gov.vn</v>
          </cell>
        </row>
        <row r="298">
          <cell r="E298">
            <v>5611148346</v>
          </cell>
          <cell r="F298" t="str">
            <v>hoangthudng@gmail.com</v>
          </cell>
        </row>
        <row r="299">
          <cell r="E299">
            <v>5611151292</v>
          </cell>
          <cell r="F299" t="str">
            <v>linh0101@gmail.com</v>
          </cell>
        </row>
        <row r="300">
          <cell r="E300">
            <v>5611151052</v>
          </cell>
        </row>
        <row r="301">
          <cell r="E301">
            <v>5611148896</v>
          </cell>
          <cell r="F301" t="str">
            <v>tttvan080289@gmail.com</v>
          </cell>
        </row>
        <row r="302">
          <cell r="E302">
            <v>5610225176</v>
          </cell>
          <cell r="F302" t="str">
            <v>thu83ytdp@gmail.com</v>
          </cell>
        </row>
        <row r="303">
          <cell r="E303">
            <v>5611324836</v>
          </cell>
          <cell r="F303" t="str">
            <v>tinthiphan28@gmail.com</v>
          </cell>
        </row>
        <row r="304">
          <cell r="E304">
            <v>8821614738</v>
          </cell>
          <cell r="F304" t="str">
            <v>vanquythuan1995@gmail.com</v>
          </cell>
        </row>
        <row r="305">
          <cell r="E305">
            <v>5611151274</v>
          </cell>
        </row>
        <row r="306">
          <cell r="E306">
            <v>8827396113</v>
          </cell>
          <cell r="F306" t="str">
            <v>camntv@danang.gov.vn</v>
          </cell>
        </row>
        <row r="307">
          <cell r="E307">
            <v>5611149011</v>
          </cell>
          <cell r="F307" t="str">
            <v>bichtram89dn@gmail.com</v>
          </cell>
        </row>
        <row r="308">
          <cell r="E308">
            <v>5611148461</v>
          </cell>
          <cell r="F308" t="str">
            <v>laithihuyentrang@gmail.com</v>
          </cell>
        </row>
        <row r="309">
          <cell r="E309" t="str">
            <v>0935759085</v>
          </cell>
          <cell r="F309" t="str">
            <v>quynhtnn031188@gmail.com</v>
          </cell>
        </row>
        <row r="310">
          <cell r="E310">
            <v>5611151177</v>
          </cell>
          <cell r="F310" t="str">
            <v>luuman1975@gmail.com</v>
          </cell>
        </row>
        <row r="311">
          <cell r="E311">
            <v>8817395546</v>
          </cell>
          <cell r="F311" t="str">
            <v>hoanntk@danang.gov.vn</v>
          </cell>
        </row>
        <row r="312">
          <cell r="E312">
            <v>8823373264</v>
          </cell>
        </row>
        <row r="313">
          <cell r="E313">
            <v>5601914975</v>
          </cell>
          <cell r="F313" t="str">
            <v>uyenltp@danang.gov.vn</v>
          </cell>
        </row>
        <row r="314">
          <cell r="E314">
            <v>8823321152</v>
          </cell>
          <cell r="F314" t="str">
            <v>huynhnguyentan2@gmail.com</v>
          </cell>
        </row>
        <row r="315">
          <cell r="E315">
            <v>8833369407</v>
          </cell>
        </row>
        <row r="316">
          <cell r="E316">
            <v>5610281770</v>
          </cell>
        </row>
        <row r="317">
          <cell r="E317">
            <v>8853369429</v>
          </cell>
          <cell r="F317" t="str">
            <v>xuananh130289@gmail.com</v>
          </cell>
        </row>
        <row r="318">
          <cell r="E318">
            <v>5623448030</v>
          </cell>
          <cell r="F318" t="str">
            <v>thangtrantk1@gmail.com</v>
          </cell>
        </row>
        <row r="319">
          <cell r="E319">
            <v>8853373276</v>
          </cell>
        </row>
        <row r="320">
          <cell r="E320">
            <v>8813373270</v>
          </cell>
          <cell r="F320" t="str">
            <v>trantanbuu7799@ gmail.com</v>
          </cell>
        </row>
        <row r="321">
          <cell r="E321">
            <v>8863369425</v>
          </cell>
          <cell r="F321" t="str">
            <v>truongngocsi.89@gmail.com</v>
          </cell>
        </row>
        <row r="322">
          <cell r="E322">
            <v>8843380045</v>
          </cell>
        </row>
        <row r="323">
          <cell r="E323">
            <v>5601962859</v>
          </cell>
          <cell r="F323" t="str">
            <v>maitantruong2911@gmail.com</v>
          </cell>
        </row>
        <row r="324">
          <cell r="E324">
            <v>8823373279</v>
          </cell>
          <cell r="F324" t="str">
            <v>Nguyenvietthanh016@gmail.com</v>
          </cell>
        </row>
        <row r="325">
          <cell r="E325">
            <v>8833373269</v>
          </cell>
          <cell r="F325" t="str">
            <v>thuyan659@gmail.com</v>
          </cell>
        </row>
        <row r="326">
          <cell r="E326">
            <v>8813373268</v>
          </cell>
          <cell r="F326" t="str">
            <v>truonghoa2chau@gmail.com</v>
          </cell>
        </row>
        <row r="327">
          <cell r="E327">
            <v>5610285958</v>
          </cell>
          <cell r="F327" t="str">
            <v>dinhchinhnguyen231982@gmail.com</v>
          </cell>
        </row>
        <row r="328">
          <cell r="E328">
            <v>5610493919</v>
          </cell>
          <cell r="F328" t="str">
            <v>yennasmile@gmail.com</v>
          </cell>
        </row>
        <row r="329">
          <cell r="E329">
            <v>5610577929</v>
          </cell>
          <cell r="F329" t="str">
            <v>hongminhhoa88@gmail.com</v>
          </cell>
        </row>
        <row r="330">
          <cell r="E330">
            <v>5610080126</v>
          </cell>
          <cell r="F330" t="str">
            <v>anhthotai@gmail.com</v>
          </cell>
        </row>
        <row r="331">
          <cell r="E331">
            <v>5610680571</v>
          </cell>
          <cell r="F331" t="str">
            <v>hoangminhhien4@gmail.com</v>
          </cell>
        </row>
        <row r="332">
          <cell r="E332">
            <v>5610080056</v>
          </cell>
          <cell r="F332" t="str">
            <v>quynhat.76.82@gmail.com</v>
          </cell>
        </row>
        <row r="333">
          <cell r="E333">
            <v>5610481279</v>
          </cell>
          <cell r="F333" t="str">
            <v>nguyenthaidung281985@gmail.com</v>
          </cell>
        </row>
        <row r="334">
          <cell r="E334">
            <v>5610369931</v>
          </cell>
          <cell r="F334" t="str">
            <v>nguyetquangnam57@gmail.com</v>
          </cell>
        </row>
        <row r="335">
          <cell r="E335">
            <v>5610277502</v>
          </cell>
          <cell r="F335" t="str">
            <v>phuocant4g@gmail.com</v>
          </cell>
        </row>
        <row r="336">
          <cell r="E336">
            <v>5610277496</v>
          </cell>
          <cell r="F336" t="str">
            <v>hotam78@gmail.com</v>
          </cell>
        </row>
        <row r="337">
          <cell r="E337" t="str">
            <v>5620994561</v>
          </cell>
          <cell r="F337" t="str">
            <v>minhhai8587@gmail.com</v>
          </cell>
        </row>
        <row r="338">
          <cell r="E338" t="str">
            <v>5622848558</v>
          </cell>
          <cell r="F338" t="str">
            <v>haiytdpquangnam@gmail.com</v>
          </cell>
        </row>
        <row r="339">
          <cell r="E339" t="str">
            <v>5622848336</v>
          </cell>
          <cell r="F339" t="str">
            <v>dongdinhvanytdpqn@gmail,com</v>
          </cell>
        </row>
        <row r="340">
          <cell r="E340" t="str">
            <v>5624589190</v>
          </cell>
          <cell r="F340" t="str">
            <v>001trang100@gmail.com</v>
          </cell>
        </row>
        <row r="341">
          <cell r="E341" t="str">
            <v>5622849153</v>
          </cell>
          <cell r="F341" t="str">
            <v>huyenhuynh83@gmail.com</v>
          </cell>
        </row>
        <row r="342">
          <cell r="E342" t="str">
            <v>5620716181</v>
          </cell>
          <cell r="F342" t="str">
            <v>nguyenthihoangtrinh25@gmail.com</v>
          </cell>
        </row>
        <row r="343">
          <cell r="E343" t="str">
            <v>5622849199</v>
          </cell>
          <cell r="F343" t="str">
            <v>tnkhanhhoa@gmail.com</v>
          </cell>
        </row>
        <row r="344">
          <cell r="E344">
            <v>5620231453</v>
          </cell>
          <cell r="F344" t="str">
            <v>bgiang1201@gmail.com</v>
          </cell>
        </row>
        <row r="345">
          <cell r="E345">
            <v>5623455146</v>
          </cell>
          <cell r="F345" t="str">
            <v>doanthimyy1991@gmail.com</v>
          </cell>
        </row>
        <row r="346">
          <cell r="E346">
            <v>5623455067</v>
          </cell>
          <cell r="F346" t="str">
            <v>duynhan18102016@gmail.com</v>
          </cell>
        </row>
        <row r="347">
          <cell r="E347">
            <v>5623454879</v>
          </cell>
          <cell r="F347" t="str">
            <v>hatien021091@gmail.com</v>
          </cell>
        </row>
        <row r="348">
          <cell r="E348">
            <v>8823369417</v>
          </cell>
          <cell r="F348" t="str">
            <v>kienalkaza@gmail.com</v>
          </cell>
        </row>
        <row r="349">
          <cell r="E349">
            <v>8833373281</v>
          </cell>
          <cell r="F349" t="str">
            <v>kimliennguyen1541970@gmail.com</v>
          </cell>
        </row>
        <row r="350">
          <cell r="E350">
            <v>8853379940</v>
          </cell>
          <cell r="F350" t="str">
            <v>ngdiemha@gmail.com</v>
          </cell>
        </row>
        <row r="351">
          <cell r="E351">
            <v>5623455137</v>
          </cell>
          <cell r="F351" t="str">
            <v>ngocanhqnam@gmail.com</v>
          </cell>
        </row>
        <row r="352">
          <cell r="E352">
            <v>8813278450</v>
          </cell>
          <cell r="F352" t="str">
            <v>ngochanh250493@gmail.com</v>
          </cell>
        </row>
        <row r="353">
          <cell r="E353">
            <v>5623455100</v>
          </cell>
          <cell r="F353" t="str">
            <v>nguyenhoanglyna189@gmail.com</v>
          </cell>
        </row>
        <row r="354">
          <cell r="E354">
            <v>8833369428</v>
          </cell>
          <cell r="F354" t="str">
            <v>nguyentandongxn@gmail.com</v>
          </cell>
        </row>
        <row r="355">
          <cell r="E355">
            <v>5623454967</v>
          </cell>
          <cell r="F355" t="str">
            <v>nguyentruongduyqn@gmail.com</v>
          </cell>
        </row>
        <row r="356">
          <cell r="E356">
            <v>8813373274</v>
          </cell>
          <cell r="F356" t="str">
            <v>Quy235211@gmail.com</v>
          </cell>
        </row>
        <row r="357">
          <cell r="E357">
            <v>5622241050</v>
          </cell>
          <cell r="F357" t="str">
            <v>tamnhan27@gmail.com</v>
          </cell>
        </row>
        <row r="358">
          <cell r="E358">
            <v>5623455119</v>
          </cell>
          <cell r="F358" t="str">
            <v>thanhthu218@gmail.com</v>
          </cell>
        </row>
        <row r="359">
          <cell r="E359">
            <v>5623455544</v>
          </cell>
          <cell r="F359" t="str">
            <v>thaogs91@gmail.com</v>
          </cell>
        </row>
        <row r="360">
          <cell r="E360">
            <v>8807399273</v>
          </cell>
          <cell r="F360" t="str">
            <v>huynhvananhthi@gmail.com</v>
          </cell>
        </row>
        <row r="361">
          <cell r="E361" t="str">
            <v>0356265138</v>
          </cell>
          <cell r="F361" t="str">
            <v>thuhoang026@gmail.com</v>
          </cell>
        </row>
        <row r="362">
          <cell r="E362">
            <v>8897399144</v>
          </cell>
          <cell r="F362" t="str">
            <v>nguyenthithuyhaqb@gmail.com</v>
          </cell>
        </row>
        <row r="363">
          <cell r="E363">
            <v>8817396309</v>
          </cell>
          <cell r="F363" t="str">
            <v>hiephuynh14.01@gmail.com</v>
          </cell>
        </row>
        <row r="364">
          <cell r="E364" t="str">
            <v>0977105312</v>
          </cell>
          <cell r="F364" t="str">
            <v>nguyenthaihoaibao@gmail.com</v>
          </cell>
        </row>
        <row r="365">
          <cell r="E365">
            <v>8847397845</v>
          </cell>
          <cell r="F365" t="str">
            <v>tuannm3@danang.gov.vn</v>
          </cell>
        </row>
        <row r="366">
          <cell r="E366">
            <v>8883373277</v>
          </cell>
          <cell r="F366" t="str">
            <v>buithitycdc@gmail.com</v>
          </cell>
        </row>
        <row r="367">
          <cell r="E367">
            <v>5610637355</v>
          </cell>
          <cell r="F367" t="str">
            <v>nhattoana252@gmail.com</v>
          </cell>
        </row>
        <row r="368">
          <cell r="E368">
            <v>5611611343</v>
          </cell>
          <cell r="F368" t="str">
            <v>hhnguyen0408@gmail.com</v>
          </cell>
        </row>
        <row r="369">
          <cell r="E369">
            <v>5611149118</v>
          </cell>
          <cell r="F369" t="str">
            <v>lengaxn@gmail.com</v>
          </cell>
        </row>
        <row r="370">
          <cell r="E370">
            <v>5610694271</v>
          </cell>
          <cell r="F370" t="str">
            <v>Thuhang221187@gmail.com</v>
          </cell>
        </row>
        <row r="371">
          <cell r="E371">
            <v>5611148887</v>
          </cell>
          <cell r="F371" t="str">
            <v>phucxetnghiem@gmail.com</v>
          </cell>
        </row>
        <row r="372">
          <cell r="E372">
            <v>5610798368</v>
          </cell>
          <cell r="F372" t="str">
            <v>lihuyen2810@gmail.com</v>
          </cell>
        </row>
        <row r="373">
          <cell r="E373">
            <v>5610603107</v>
          </cell>
          <cell r="F373" t="str">
            <v>nguyenhoaithu211088@gmail.com</v>
          </cell>
        </row>
        <row r="374">
          <cell r="E374">
            <v>5610225963</v>
          </cell>
          <cell r="F374" t="str">
            <v>hathuha82@gmail.com</v>
          </cell>
        </row>
        <row r="375">
          <cell r="E375">
            <v>5610416758</v>
          </cell>
          <cell r="F375" t="str">
            <v>vanthunguyen2000@gmail.com</v>
          </cell>
        </row>
        <row r="376">
          <cell r="E376">
            <v>5610266874</v>
          </cell>
          <cell r="F376" t="str">
            <v>hienntt1084@gmail.com</v>
          </cell>
        </row>
        <row r="377">
          <cell r="E377">
            <v>5610225981</v>
          </cell>
          <cell r="F377" t="str">
            <v>hanguyen.280174@gmail.com</v>
          </cell>
        </row>
        <row r="378">
          <cell r="E378">
            <v>5611148425</v>
          </cell>
          <cell r="F378" t="str">
            <v>nguyenbinhkdyt@gmail.com</v>
          </cell>
        </row>
        <row r="379">
          <cell r="E379">
            <v>5611040947</v>
          </cell>
          <cell r="F379" t="str">
            <v>ninhchau08@gmail.com</v>
          </cell>
        </row>
        <row r="380">
          <cell r="E380">
            <v>5610226391</v>
          </cell>
          <cell r="F380" t="str">
            <v>vietnhi638@gmail.com</v>
          </cell>
        </row>
        <row r="381">
          <cell r="E381">
            <v>5610577196</v>
          </cell>
          <cell r="F381" t="str">
            <v>votuyetnhung.bk@gmail.com</v>
          </cell>
        </row>
        <row r="382">
          <cell r="E382">
            <v>5611150165</v>
          </cell>
          <cell r="F382" t="str">
            <v>tranhongngoc775@gmail.com</v>
          </cell>
        </row>
        <row r="383">
          <cell r="E383">
            <v>5611150156</v>
          </cell>
          <cell r="F383" t="str">
            <v>hothuytrang1807@gmail.com</v>
          </cell>
        </row>
        <row r="384">
          <cell r="E384">
            <v>5611150183</v>
          </cell>
          <cell r="F384" t="str">
            <v>hothinga171091@gmail.com</v>
          </cell>
        </row>
        <row r="385">
          <cell r="E385">
            <v>5611150147</v>
          </cell>
          <cell r="F385" t="str">
            <v>hoangthonglemai@gmail.com</v>
          </cell>
        </row>
        <row r="386">
          <cell r="E386">
            <v>5611627094</v>
          </cell>
          <cell r="F386" t="str">
            <v>thi.ho6@uq.net.au</v>
          </cell>
        </row>
        <row r="387">
          <cell r="E387">
            <v>5610143728</v>
          </cell>
          <cell r="F387" t="str">
            <v>nhanthao1412@gmail.com</v>
          </cell>
        </row>
        <row r="388">
          <cell r="E388">
            <v>5610703849</v>
          </cell>
          <cell r="F388" t="str">
            <v>linhvtm1991@gmail.com</v>
          </cell>
        </row>
        <row r="389">
          <cell r="E389">
            <v>5611333221</v>
          </cell>
          <cell r="F389" t="str">
            <v>vonghiaqn@gmail.com</v>
          </cell>
        </row>
        <row r="390">
          <cell r="E390">
            <v>5610602821</v>
          </cell>
          <cell r="F390" t="str">
            <v>Phuongcanada2021@gmail.com</v>
          </cell>
        </row>
        <row r="391">
          <cell r="E391">
            <v>5610703380</v>
          </cell>
          <cell r="F391" t="str">
            <v>phamthihieuxn36B@gmail.com</v>
          </cell>
        </row>
        <row r="392">
          <cell r="E392">
            <v>5610413810</v>
          </cell>
          <cell r="F392" t="str">
            <v>123buocddeu@gmail.com</v>
          </cell>
        </row>
        <row r="393">
          <cell r="E393">
            <v>5610413829</v>
          </cell>
          <cell r="F393" t="str">
            <v>Phamvietson01@gmail.com</v>
          </cell>
        </row>
        <row r="394">
          <cell r="E394">
            <v>5611148160</v>
          </cell>
          <cell r="F394" t="str">
            <v>lamphungphong189@gmail.com</v>
          </cell>
        </row>
        <row r="395">
          <cell r="E395">
            <v>5610543984</v>
          </cell>
          <cell r="F395" t="str">
            <v>loan190004@gmail.com</v>
          </cell>
        </row>
        <row r="396">
          <cell r="E396">
            <v>5611148328</v>
          </cell>
          <cell r="F396" t="str">
            <v>thulieu.210486@gmail.com</v>
          </cell>
        </row>
        <row r="397">
          <cell r="E397">
            <v>5623455094</v>
          </cell>
          <cell r="F397" t="str">
            <v>china06c1@gmail.com</v>
          </cell>
        </row>
        <row r="398">
          <cell r="E398">
            <v>8803373280</v>
          </cell>
          <cell r="F398" t="str">
            <v>duchau010295@gmail.com</v>
          </cell>
        </row>
        <row r="399">
          <cell r="E399">
            <v>5623462483</v>
          </cell>
          <cell r="F399" t="str">
            <v>nghi0401@gmail.com</v>
          </cell>
        </row>
        <row r="400">
          <cell r="E400">
            <v>5623455085</v>
          </cell>
          <cell r="F400" t="str">
            <v>thuyloan.skmt@gmail.com</v>
          </cell>
        </row>
        <row r="401">
          <cell r="E401">
            <v>5610566051</v>
          </cell>
          <cell r="F401" t="str">
            <v>chaukhanh1512@gmail.com</v>
          </cell>
        </row>
        <row r="402">
          <cell r="E402">
            <v>5610289765</v>
          </cell>
          <cell r="F402" t="str">
            <v>cvh22hung@gmail.com</v>
          </cell>
        </row>
        <row r="403">
          <cell r="E403">
            <v>5611148489</v>
          </cell>
          <cell r="F403" t="str">
            <v>hoangphuckdqt@gmail.com</v>
          </cell>
        </row>
        <row r="404">
          <cell r="E404">
            <v>5610602830</v>
          </cell>
          <cell r="F404" t="str">
            <v>nguyentoenv@gmail.com</v>
          </cell>
        </row>
        <row r="405">
          <cell r="E405">
            <v>5610281789</v>
          </cell>
          <cell r="F405" t="str">
            <v>vothiduyle@gmail.com</v>
          </cell>
        </row>
        <row r="406">
          <cell r="E406">
            <v>5610343616</v>
          </cell>
          <cell r="F406" t="str">
            <v>nguyenkimdang84@gmail.com</v>
          </cell>
        </row>
        <row r="407">
          <cell r="E407">
            <v>5611148799</v>
          </cell>
          <cell r="F407" t="str">
            <v>gnoudha@gmail.com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973F5-ED23-49FE-AF7D-1E75FE164525}">
  <dimension ref="A1:Q409"/>
  <sheetViews>
    <sheetView tabSelected="1" topLeftCell="H1" workbookViewId="0">
      <selection activeCell="P7" sqref="P7"/>
    </sheetView>
  </sheetViews>
  <sheetFormatPr defaultColWidth="10.5703125" defaultRowHeight="15.75" x14ac:dyDescent="0.25"/>
  <cols>
    <col min="1" max="1" width="9.140625" style="53" customWidth="1"/>
    <col min="2" max="2" width="12.140625" style="66" customWidth="1"/>
    <col min="3" max="3" width="30" style="66" customWidth="1"/>
    <col min="4" max="8" width="15.5703125" style="67" customWidth="1"/>
    <col min="9" max="9" width="16.85546875" style="67" customWidth="1"/>
    <col min="10" max="10" width="18.85546875" style="67" customWidth="1"/>
    <col min="11" max="11" width="15.7109375" style="53" customWidth="1"/>
    <col min="12" max="12" width="14.5703125" style="67" customWidth="1"/>
    <col min="13" max="13" width="15.85546875" style="53" customWidth="1"/>
    <col min="14" max="14" width="16" style="53" customWidth="1"/>
    <col min="15" max="15" width="15.5703125" style="53" customWidth="1"/>
    <col min="16" max="16" width="35" style="53" customWidth="1"/>
    <col min="17" max="17" width="33" style="53" customWidth="1"/>
    <col min="18" max="16384" width="10.5703125" style="53"/>
  </cols>
  <sheetData>
    <row r="1" spans="1:17" s="2" customFormat="1" ht="24.75" customHeight="1" x14ac:dyDescent="0.25">
      <c r="A1" s="1"/>
      <c r="B1" s="2" t="s">
        <v>0</v>
      </c>
      <c r="C1" s="3"/>
      <c r="D1" s="3"/>
      <c r="E1" s="2" t="s">
        <v>1</v>
      </c>
      <c r="F1" s="2" t="s">
        <v>2</v>
      </c>
      <c r="G1" s="2" t="s">
        <v>3</v>
      </c>
      <c r="H1" s="2" t="s">
        <v>4</v>
      </c>
      <c r="I1" s="2" t="s">
        <v>5</v>
      </c>
      <c r="J1" s="2" t="s">
        <v>6</v>
      </c>
      <c r="K1" s="4"/>
      <c r="L1" s="2" t="s">
        <v>7</v>
      </c>
      <c r="O1" s="77"/>
    </row>
    <row r="2" spans="1:17" s="11" customFormat="1" ht="131.25" customHeight="1" x14ac:dyDescent="0.25">
      <c r="A2" s="5"/>
      <c r="B2" s="6" t="s">
        <v>8</v>
      </c>
      <c r="C2" s="6" t="s">
        <v>9</v>
      </c>
      <c r="D2" s="7" t="s">
        <v>10</v>
      </c>
      <c r="E2" s="7" t="s">
        <v>11</v>
      </c>
      <c r="F2" s="7" t="s">
        <v>12</v>
      </c>
      <c r="G2" s="7" t="s">
        <v>13</v>
      </c>
      <c r="H2" s="7" t="s">
        <v>14</v>
      </c>
      <c r="I2" s="7" t="s">
        <v>15</v>
      </c>
      <c r="J2" s="7" t="s">
        <v>16</v>
      </c>
      <c r="K2" s="8" t="s">
        <v>17</v>
      </c>
      <c r="L2" s="7" t="s">
        <v>18</v>
      </c>
      <c r="M2" s="5" t="s">
        <v>19</v>
      </c>
      <c r="N2" s="5" t="s">
        <v>20</v>
      </c>
      <c r="O2" s="78" t="s">
        <v>21</v>
      </c>
      <c r="P2" s="9">
        <v>1296641061</v>
      </c>
      <c r="Q2" s="10">
        <v>59</v>
      </c>
    </row>
    <row r="3" spans="1:17" s="18" customFormat="1" ht="21" customHeight="1" x14ac:dyDescent="0.25">
      <c r="A3" s="12" t="s">
        <v>22</v>
      </c>
      <c r="B3" s="13">
        <v>1</v>
      </c>
      <c r="C3" s="14" t="s">
        <v>23</v>
      </c>
      <c r="D3" s="15">
        <v>5611149075</v>
      </c>
      <c r="E3" s="16">
        <v>0</v>
      </c>
      <c r="F3" s="16">
        <v>700000</v>
      </c>
      <c r="G3" s="16">
        <v>0</v>
      </c>
      <c r="H3" s="16">
        <v>0</v>
      </c>
      <c r="I3" s="16">
        <v>9097920</v>
      </c>
      <c r="J3" s="16">
        <v>10108800</v>
      </c>
      <c r="K3" s="17">
        <f t="shared" ref="K3:K66" si="0">SUM(E3:J3)</f>
        <v>19906720</v>
      </c>
      <c r="L3" s="16">
        <v>1061424</v>
      </c>
      <c r="M3" s="17">
        <v>21700000</v>
      </c>
      <c r="N3" s="17">
        <f>K3-L3-M3</f>
        <v>-2854704</v>
      </c>
      <c r="O3" s="79">
        <f>ROUND(IF(N3&gt;100000000,N3*35%-14500000,IF(N3&gt;60000000,N3*30%-9500000,IF(N3&gt;30000000,N3*20%-3500000,IF(N3&gt;10000000,N3*10%-500000,IF(N3&gt;0,N3*5%,0))))),-3)</f>
        <v>0</v>
      </c>
      <c r="P3" s="18" t="s">
        <v>468</v>
      </c>
      <c r="Q3" s="18" t="str">
        <f>IFERROR(VLOOKUP(D3,'[1]TT CÁ NHÂN'!$E$3:$F$407,2,FALSE),0)</f>
        <v>chuong.vipdn@gmail.com</v>
      </c>
    </row>
    <row r="4" spans="1:17" s="18" customFormat="1" ht="21" customHeight="1" x14ac:dyDescent="0.25">
      <c r="A4" s="19" t="s">
        <v>22</v>
      </c>
      <c r="B4" s="20">
        <v>2</v>
      </c>
      <c r="C4" s="21" t="s">
        <v>24</v>
      </c>
      <c r="D4" s="22">
        <v>5623447921</v>
      </c>
      <c r="E4" s="23">
        <v>0</v>
      </c>
      <c r="F4" s="23">
        <v>700000</v>
      </c>
      <c r="G4" s="23">
        <v>0</v>
      </c>
      <c r="H4" s="23">
        <v>0</v>
      </c>
      <c r="I4" s="23">
        <v>6318000</v>
      </c>
      <c r="J4" s="23">
        <v>7020000</v>
      </c>
      <c r="K4" s="24">
        <f t="shared" si="0"/>
        <v>14038000</v>
      </c>
      <c r="L4" s="23">
        <v>737100</v>
      </c>
      <c r="M4" s="24">
        <v>15500000</v>
      </c>
      <c r="N4" s="24">
        <f t="shared" ref="N4:N67" si="1">K4-L4-M4</f>
        <v>-2199100</v>
      </c>
      <c r="O4" s="80">
        <f t="shared" ref="O4:O67" si="2">ROUND(IF(N4&gt;100000000,N4*35%-14500000,IF(N4&gt;60000000,N4*30%-9500000,IF(N4&gt;30000000,N4*20%-3500000,IF(N4&gt;10000000,N4*10%-500000,IF(N4&gt;0,N4*5%,0))))),-3)</f>
        <v>0</v>
      </c>
      <c r="P4" s="18" t="s">
        <v>469</v>
      </c>
      <c r="Q4" s="18" t="str">
        <f>IFERROR(VLOOKUP(D4,'[1]TT CÁ NHÂN'!$E$3:$F$407,2,FALSE),0)</f>
        <v>cobala050691@gmail.com</v>
      </c>
    </row>
    <row r="5" spans="1:17" s="18" customFormat="1" ht="21" customHeight="1" x14ac:dyDescent="0.25">
      <c r="A5" s="19" t="s">
        <v>25</v>
      </c>
      <c r="B5" s="20">
        <v>3</v>
      </c>
      <c r="C5" s="25" t="s">
        <v>26</v>
      </c>
      <c r="D5" s="22">
        <v>8823369413</v>
      </c>
      <c r="E5" s="23">
        <v>0</v>
      </c>
      <c r="F5" s="23">
        <v>700000</v>
      </c>
      <c r="G5" s="23">
        <v>0</v>
      </c>
      <c r="H5" s="23">
        <v>0</v>
      </c>
      <c r="I5" s="23">
        <v>12275874</v>
      </c>
      <c r="J5" s="23">
        <v>13639860</v>
      </c>
      <c r="K5" s="24">
        <f t="shared" si="0"/>
        <v>26615734</v>
      </c>
      <c r="L5" s="23">
        <v>1432185</v>
      </c>
      <c r="M5" s="24">
        <v>15500000</v>
      </c>
      <c r="N5" s="24">
        <f t="shared" si="1"/>
        <v>9683549</v>
      </c>
      <c r="O5" s="80">
        <f t="shared" si="2"/>
        <v>484000</v>
      </c>
      <c r="P5" s="18" t="s">
        <v>470</v>
      </c>
      <c r="Q5" s="18" t="str">
        <f>IFERROR(VLOOKUP(D5,'[1]TT CÁ NHÂN'!$E$3:$F$407,2,FALSE),0)</f>
        <v>longcanht4g@gmail.com</v>
      </c>
    </row>
    <row r="6" spans="1:17" s="18" customFormat="1" ht="21" customHeight="1" x14ac:dyDescent="0.25">
      <c r="A6" s="19" t="s">
        <v>27</v>
      </c>
      <c r="B6" s="20">
        <v>4</v>
      </c>
      <c r="C6" s="26" t="s">
        <v>28</v>
      </c>
      <c r="D6" s="27" t="s">
        <v>29</v>
      </c>
      <c r="E6" s="23">
        <v>0</v>
      </c>
      <c r="F6" s="23">
        <v>700000</v>
      </c>
      <c r="G6" s="23">
        <v>0</v>
      </c>
      <c r="H6" s="23">
        <v>0</v>
      </c>
      <c r="I6" s="23">
        <v>8760960</v>
      </c>
      <c r="J6" s="23">
        <v>9734400</v>
      </c>
      <c r="K6" s="24">
        <f t="shared" si="0"/>
        <v>19195360</v>
      </c>
      <c r="L6" s="23">
        <v>1022112</v>
      </c>
      <c r="M6" s="24">
        <v>21700000</v>
      </c>
      <c r="N6" s="24">
        <f t="shared" si="1"/>
        <v>-3526752</v>
      </c>
      <c r="O6" s="80">
        <f t="shared" si="2"/>
        <v>0</v>
      </c>
      <c r="P6" s="18" t="s">
        <v>471</v>
      </c>
      <c r="Q6" s="18" t="str">
        <f>IFERROR(VLOOKUP(D6,'[1]TT CÁ NHÂN'!$E$3:$F$407,2,FALSE),0)</f>
        <v>minhhai8587@gmail.com</v>
      </c>
    </row>
    <row r="7" spans="1:17" s="18" customFormat="1" ht="21" customHeight="1" x14ac:dyDescent="0.25">
      <c r="A7" s="19" t="s">
        <v>27</v>
      </c>
      <c r="B7" s="20">
        <v>5</v>
      </c>
      <c r="C7" s="28" t="s">
        <v>30</v>
      </c>
      <c r="D7" s="29">
        <v>8883373277</v>
      </c>
      <c r="E7" s="23">
        <v>0</v>
      </c>
      <c r="F7" s="23">
        <v>700000</v>
      </c>
      <c r="G7" s="23">
        <v>0</v>
      </c>
      <c r="H7" s="23">
        <v>0</v>
      </c>
      <c r="I7" s="23">
        <v>0</v>
      </c>
      <c r="J7" s="23">
        <v>5967000</v>
      </c>
      <c r="K7" s="24">
        <f t="shared" si="0"/>
        <v>6667000</v>
      </c>
      <c r="L7" s="23">
        <v>626535</v>
      </c>
      <c r="M7" s="24">
        <v>21700000</v>
      </c>
      <c r="N7" s="24">
        <f t="shared" si="1"/>
        <v>-15659535</v>
      </c>
      <c r="O7" s="80">
        <f t="shared" si="2"/>
        <v>0</v>
      </c>
      <c r="P7" s="18" t="s">
        <v>853</v>
      </c>
      <c r="Q7" s="18" t="str">
        <f>IFERROR(VLOOKUP(D7,'[1]TT CÁ NHÂN'!$E$3:$F$407,2,FALSE),0)</f>
        <v>buithitycdc@gmail.com</v>
      </c>
    </row>
    <row r="8" spans="1:17" s="18" customFormat="1" ht="21" customHeight="1" x14ac:dyDescent="0.25">
      <c r="A8" s="19" t="s">
        <v>31</v>
      </c>
      <c r="B8" s="20">
        <v>6</v>
      </c>
      <c r="C8" s="26" t="s">
        <v>32</v>
      </c>
      <c r="D8" s="27">
        <v>5611148957</v>
      </c>
      <c r="E8" s="23">
        <v>0</v>
      </c>
      <c r="F8" s="23">
        <v>700000</v>
      </c>
      <c r="G8" s="23">
        <v>0</v>
      </c>
      <c r="H8" s="23">
        <v>0</v>
      </c>
      <c r="I8" s="23">
        <v>7012980</v>
      </c>
      <c r="J8" s="23">
        <v>7792200</v>
      </c>
      <c r="K8" s="24">
        <f t="shared" si="0"/>
        <v>15505180</v>
      </c>
      <c r="L8" s="23">
        <v>818181</v>
      </c>
      <c r="M8" s="24">
        <v>27900000</v>
      </c>
      <c r="N8" s="24">
        <f t="shared" si="1"/>
        <v>-13213001</v>
      </c>
      <c r="O8" s="80">
        <f t="shared" si="2"/>
        <v>0</v>
      </c>
      <c r="P8" s="18" t="s">
        <v>472</v>
      </c>
      <c r="Q8" s="18" t="str">
        <f>IFERROR(VLOOKUP(D8,'[1]TT CÁ NHÂN'!$E$3:$F$407,2,FALSE),0)</f>
        <v>Thangcdcdna@gmail.com</v>
      </c>
    </row>
    <row r="9" spans="1:17" s="18" customFormat="1" ht="21" customHeight="1" x14ac:dyDescent="0.25">
      <c r="A9" s="19" t="s">
        <v>27</v>
      </c>
      <c r="B9" s="20">
        <v>7</v>
      </c>
      <c r="C9" s="30" t="s">
        <v>33</v>
      </c>
      <c r="D9" s="22">
        <v>8823369417</v>
      </c>
      <c r="E9" s="23">
        <v>0</v>
      </c>
      <c r="F9" s="23">
        <v>700000</v>
      </c>
      <c r="G9" s="23">
        <v>0</v>
      </c>
      <c r="H9" s="23">
        <v>0</v>
      </c>
      <c r="I9" s="23">
        <v>9645480</v>
      </c>
      <c r="J9" s="23">
        <v>10717200</v>
      </c>
      <c r="K9" s="24">
        <f t="shared" si="0"/>
        <v>21062680</v>
      </c>
      <c r="L9" s="23">
        <v>1125306</v>
      </c>
      <c r="M9" s="24">
        <v>27900000</v>
      </c>
      <c r="N9" s="24">
        <f t="shared" si="1"/>
        <v>-7962626</v>
      </c>
      <c r="O9" s="80">
        <f t="shared" si="2"/>
        <v>0</v>
      </c>
      <c r="P9" s="18" t="s">
        <v>473</v>
      </c>
      <c r="Q9" s="18" t="str">
        <f>IFERROR(VLOOKUP(D9,'[1]TT CÁ NHÂN'!$E$3:$F$407,2,FALSE),0)</f>
        <v>kienalkaza@gmail.com</v>
      </c>
    </row>
    <row r="10" spans="1:17" s="18" customFormat="1" ht="21" customHeight="1" x14ac:dyDescent="0.25">
      <c r="A10" s="19" t="s">
        <v>34</v>
      </c>
      <c r="B10" s="20">
        <v>8</v>
      </c>
      <c r="C10" s="30" t="s">
        <v>35</v>
      </c>
      <c r="D10" s="22">
        <v>8893375046</v>
      </c>
      <c r="E10" s="23">
        <v>0</v>
      </c>
      <c r="F10" s="23">
        <v>700000</v>
      </c>
      <c r="G10" s="23">
        <v>0</v>
      </c>
      <c r="H10" s="23">
        <v>0</v>
      </c>
      <c r="I10" s="23">
        <v>5623020</v>
      </c>
      <c r="J10" s="23">
        <v>6247800</v>
      </c>
      <c r="K10" s="24">
        <f t="shared" si="0"/>
        <v>12570820</v>
      </c>
      <c r="L10" s="23">
        <v>656019</v>
      </c>
      <c r="M10" s="24">
        <v>15500000</v>
      </c>
      <c r="N10" s="24">
        <f t="shared" si="1"/>
        <v>-3585199</v>
      </c>
      <c r="O10" s="80">
        <f t="shared" si="2"/>
        <v>0</v>
      </c>
      <c r="P10" s="18" t="s">
        <v>474</v>
      </c>
      <c r="Q10" s="18" t="str">
        <f>IFERROR(VLOOKUP(D10,'[1]TT CÁ NHÂN'!$E$3:$F$407,2,FALSE),0)</f>
        <v>hoangminhhuy94@gmail.com</v>
      </c>
    </row>
    <row r="11" spans="1:17" s="18" customFormat="1" ht="21" customHeight="1" x14ac:dyDescent="0.25">
      <c r="A11" s="19" t="s">
        <v>22</v>
      </c>
      <c r="B11" s="20">
        <v>9</v>
      </c>
      <c r="C11" s="26" t="s">
        <v>36</v>
      </c>
      <c r="D11" s="27">
        <v>5611148771</v>
      </c>
      <c r="E11" s="23">
        <v>0</v>
      </c>
      <c r="F11" s="23">
        <v>700000</v>
      </c>
      <c r="G11" s="23">
        <v>0</v>
      </c>
      <c r="H11" s="23">
        <v>0</v>
      </c>
      <c r="I11" s="23">
        <v>6381180</v>
      </c>
      <c r="J11" s="23">
        <v>7090200</v>
      </c>
      <c r="K11" s="24">
        <f t="shared" si="0"/>
        <v>14171380</v>
      </c>
      <c r="L11" s="23">
        <v>744471</v>
      </c>
      <c r="M11" s="24">
        <v>34100000</v>
      </c>
      <c r="N11" s="24">
        <f t="shared" si="1"/>
        <v>-20673091</v>
      </c>
      <c r="O11" s="80">
        <f t="shared" si="2"/>
        <v>0</v>
      </c>
      <c r="P11" s="18" t="s">
        <v>475</v>
      </c>
      <c r="Q11" s="18" t="str">
        <f>IFERROR(VLOOKUP(D11,'[1]TT CÁ NHÂN'!$E$3:$F$407,2,FALSE),0)</f>
        <v>caomaiphuong94@gmail.com</v>
      </c>
    </row>
    <row r="12" spans="1:17" s="18" customFormat="1" ht="21" customHeight="1" x14ac:dyDescent="0.25">
      <c r="A12" s="19" t="s">
        <v>22</v>
      </c>
      <c r="B12" s="20">
        <v>10</v>
      </c>
      <c r="C12" s="31" t="s">
        <v>37</v>
      </c>
      <c r="D12" s="22">
        <v>5623448711</v>
      </c>
      <c r="E12" s="23">
        <v>0</v>
      </c>
      <c r="F12" s="23">
        <v>700000</v>
      </c>
      <c r="G12" s="23">
        <v>0</v>
      </c>
      <c r="H12" s="23">
        <v>0</v>
      </c>
      <c r="I12" s="23">
        <v>8058960</v>
      </c>
      <c r="J12" s="23">
        <v>11512800</v>
      </c>
      <c r="K12" s="24">
        <f t="shared" si="0"/>
        <v>20271760</v>
      </c>
      <c r="L12" s="23">
        <v>1208844</v>
      </c>
      <c r="M12" s="24">
        <v>27900000</v>
      </c>
      <c r="N12" s="24">
        <f t="shared" si="1"/>
        <v>-8837084</v>
      </c>
      <c r="O12" s="80">
        <f t="shared" si="2"/>
        <v>0</v>
      </c>
      <c r="P12" s="18">
        <v>0</v>
      </c>
      <c r="Q12" s="18">
        <f>IFERROR(VLOOKUP(D12,'[1]TT CÁ NHÂN'!$E$3:$F$407,2,FALSE),0)</f>
        <v>0</v>
      </c>
    </row>
    <row r="13" spans="1:17" s="18" customFormat="1" ht="21" customHeight="1" x14ac:dyDescent="0.25">
      <c r="A13" s="19" t="s">
        <v>38</v>
      </c>
      <c r="B13" s="20">
        <v>11</v>
      </c>
      <c r="C13" s="30" t="s">
        <v>39</v>
      </c>
      <c r="D13" s="22">
        <v>5620596763</v>
      </c>
      <c r="E13" s="23">
        <v>0</v>
      </c>
      <c r="F13" s="23">
        <v>700000</v>
      </c>
      <c r="G13" s="23">
        <v>0</v>
      </c>
      <c r="H13" s="23">
        <v>0</v>
      </c>
      <c r="I13" s="23">
        <v>7707960</v>
      </c>
      <c r="J13" s="23">
        <v>8564400</v>
      </c>
      <c r="K13" s="24">
        <f t="shared" si="0"/>
        <v>16972360</v>
      </c>
      <c r="L13" s="23">
        <v>899262</v>
      </c>
      <c r="M13" s="24">
        <v>15500000</v>
      </c>
      <c r="N13" s="24">
        <f t="shared" si="1"/>
        <v>573098</v>
      </c>
      <c r="O13" s="80">
        <f t="shared" si="2"/>
        <v>29000</v>
      </c>
      <c r="P13" s="18" t="s">
        <v>476</v>
      </c>
      <c r="Q13" s="18" t="str">
        <f>IFERROR(VLOOKUP(D13,'[1]TT CÁ NHÂN'!$E$3:$F$407,2,FALSE),0)</f>
        <v>chautrinhthoaqn@gmail.com</v>
      </c>
    </row>
    <row r="14" spans="1:17" s="18" customFormat="1" ht="21" customHeight="1" x14ac:dyDescent="0.25">
      <c r="A14" s="19" t="s">
        <v>40</v>
      </c>
      <c r="B14" s="20">
        <v>12</v>
      </c>
      <c r="C14" s="26" t="s">
        <v>41</v>
      </c>
      <c r="D14" s="27">
        <v>5610289765</v>
      </c>
      <c r="E14" s="23">
        <v>0</v>
      </c>
      <c r="F14" s="23">
        <v>700000</v>
      </c>
      <c r="G14" s="23">
        <v>0</v>
      </c>
      <c r="H14" s="23">
        <v>0</v>
      </c>
      <c r="I14" s="23">
        <v>11326910</v>
      </c>
      <c r="J14" s="23">
        <v>12585456</v>
      </c>
      <c r="K14" s="24">
        <f t="shared" si="0"/>
        <v>24612366</v>
      </c>
      <c r="L14" s="23">
        <v>1321473</v>
      </c>
      <c r="M14" s="24">
        <v>15500000</v>
      </c>
      <c r="N14" s="24">
        <f t="shared" si="1"/>
        <v>7790893</v>
      </c>
      <c r="O14" s="80">
        <f t="shared" si="2"/>
        <v>390000</v>
      </c>
      <c r="P14" s="18" t="s">
        <v>477</v>
      </c>
      <c r="Q14" s="18" t="str">
        <f>IFERROR(VLOOKUP(D14,'[1]TT CÁ NHÂN'!$E$3:$F$407,2,FALSE),0)</f>
        <v>cvh22hung@gmail.com</v>
      </c>
    </row>
    <row r="15" spans="1:17" s="18" customFormat="1" ht="21" customHeight="1" x14ac:dyDescent="0.25">
      <c r="A15" s="19" t="s">
        <v>42</v>
      </c>
      <c r="B15" s="20">
        <v>13</v>
      </c>
      <c r="C15" s="26" t="s">
        <v>43</v>
      </c>
      <c r="D15" s="27">
        <v>5610702952</v>
      </c>
      <c r="E15" s="23">
        <v>0</v>
      </c>
      <c r="F15" s="23">
        <v>700000</v>
      </c>
      <c r="G15" s="23">
        <v>0</v>
      </c>
      <c r="H15" s="23">
        <v>0</v>
      </c>
      <c r="I15" s="23">
        <v>7012980</v>
      </c>
      <c r="J15" s="23">
        <v>7792200</v>
      </c>
      <c r="K15" s="24">
        <f t="shared" si="0"/>
        <v>15505180</v>
      </c>
      <c r="L15" s="23">
        <v>818181</v>
      </c>
      <c r="M15" s="24">
        <v>21700000</v>
      </c>
      <c r="N15" s="24">
        <f t="shared" si="1"/>
        <v>-7013001</v>
      </c>
      <c r="O15" s="80">
        <f t="shared" si="2"/>
        <v>0</v>
      </c>
      <c r="P15" s="18" t="s">
        <v>478</v>
      </c>
      <c r="Q15" s="18" t="str">
        <f>IFERROR(VLOOKUP(D15,'[1]TT CÁ NHÂN'!$E$3:$F$407,2,FALSE),0)</f>
        <v>khoidam88@gmail.com</v>
      </c>
    </row>
    <row r="16" spans="1:17" s="18" customFormat="1" ht="21" customHeight="1" x14ac:dyDescent="0.25">
      <c r="A16" s="19" t="s">
        <v>44</v>
      </c>
      <c r="B16" s="20">
        <v>14</v>
      </c>
      <c r="C16" s="26" t="s">
        <v>45</v>
      </c>
      <c r="D16" s="27">
        <v>8827397335</v>
      </c>
      <c r="E16" s="23">
        <v>0</v>
      </c>
      <c r="F16" s="23">
        <v>700000</v>
      </c>
      <c r="G16" s="23">
        <v>0</v>
      </c>
      <c r="H16" s="23">
        <v>0</v>
      </c>
      <c r="I16" s="23">
        <v>5623020</v>
      </c>
      <c r="J16" s="23">
        <v>6247800</v>
      </c>
      <c r="K16" s="24">
        <f t="shared" si="0"/>
        <v>12570820</v>
      </c>
      <c r="L16" s="23">
        <v>656019</v>
      </c>
      <c r="M16" s="24">
        <v>15500000</v>
      </c>
      <c r="N16" s="24">
        <f t="shared" si="1"/>
        <v>-3585199</v>
      </c>
      <c r="O16" s="80">
        <f t="shared" si="2"/>
        <v>0</v>
      </c>
      <c r="P16" s="18" t="s">
        <v>479</v>
      </c>
      <c r="Q16" s="18" t="str">
        <f>IFERROR(VLOOKUP(D16,'[1]TT CÁ NHÂN'!$E$3:$F$407,2,FALSE),0)</f>
        <v>dangngocanhdn114@gmail.com</v>
      </c>
    </row>
    <row r="17" spans="1:17" s="18" customFormat="1" ht="21" customHeight="1" x14ac:dyDescent="0.25">
      <c r="A17" s="19" t="s">
        <v>34</v>
      </c>
      <c r="B17" s="20">
        <v>15</v>
      </c>
      <c r="C17" s="26" t="s">
        <v>46</v>
      </c>
      <c r="D17" s="27">
        <v>5611554572</v>
      </c>
      <c r="E17" s="23">
        <v>601000</v>
      </c>
      <c r="F17" s="23">
        <v>700000</v>
      </c>
      <c r="G17" s="23">
        <v>0</v>
      </c>
      <c r="H17" s="23">
        <v>0</v>
      </c>
      <c r="I17" s="23">
        <v>0</v>
      </c>
      <c r="J17" s="23">
        <v>5475600</v>
      </c>
      <c r="K17" s="24">
        <f t="shared" si="0"/>
        <v>6776600</v>
      </c>
      <c r="L17" s="23">
        <v>574938</v>
      </c>
      <c r="M17" s="24">
        <v>15500000</v>
      </c>
      <c r="N17" s="24">
        <f t="shared" si="1"/>
        <v>-9298338</v>
      </c>
      <c r="O17" s="80">
        <f t="shared" si="2"/>
        <v>0</v>
      </c>
      <c r="P17" s="18" t="s">
        <v>480</v>
      </c>
      <c r="Q17" s="18" t="str">
        <f>IFERROR(VLOOKUP(D17,'[1]TT CÁ NHÂN'!$E$3:$F$407,2,FALSE),0)</f>
        <v>sanhyhdp98@gmail.com</v>
      </c>
    </row>
    <row r="18" spans="1:17" s="18" customFormat="1" ht="21" customHeight="1" x14ac:dyDescent="0.25">
      <c r="A18" s="19" t="s">
        <v>44</v>
      </c>
      <c r="B18" s="20">
        <v>16</v>
      </c>
      <c r="C18" s="26" t="s">
        <v>47</v>
      </c>
      <c r="D18" s="27">
        <v>8807398456</v>
      </c>
      <c r="E18" s="23">
        <v>0</v>
      </c>
      <c r="F18" s="23">
        <v>700000</v>
      </c>
      <c r="G18" s="23">
        <v>146000</v>
      </c>
      <c r="H18" s="23">
        <v>0</v>
      </c>
      <c r="I18" s="23">
        <v>4928040</v>
      </c>
      <c r="J18" s="23">
        <v>5475600</v>
      </c>
      <c r="K18" s="24">
        <f t="shared" si="0"/>
        <v>11249640</v>
      </c>
      <c r="L18" s="23">
        <v>574938</v>
      </c>
      <c r="M18" s="24">
        <v>15500000</v>
      </c>
      <c r="N18" s="24">
        <f t="shared" si="1"/>
        <v>-4825298</v>
      </c>
      <c r="O18" s="80">
        <f t="shared" si="2"/>
        <v>0</v>
      </c>
      <c r="P18" s="18" t="s">
        <v>481</v>
      </c>
      <c r="Q18" s="18" t="str">
        <f>IFERROR(VLOOKUP(D18,'[1]TT CÁ NHÂN'!$E$3:$F$407,2,FALSE),0)</f>
        <v>quanganh302098@gmail.com</v>
      </c>
    </row>
    <row r="19" spans="1:17" s="18" customFormat="1" ht="21" customHeight="1" x14ac:dyDescent="0.25">
      <c r="A19" s="19" t="s">
        <v>38</v>
      </c>
      <c r="B19" s="20">
        <v>17</v>
      </c>
      <c r="C19" s="26" t="s">
        <v>48</v>
      </c>
      <c r="D19" s="27">
        <v>5610818433</v>
      </c>
      <c r="E19" s="23">
        <v>0</v>
      </c>
      <c r="F19" s="23">
        <v>700000</v>
      </c>
      <c r="G19" s="23">
        <v>300000</v>
      </c>
      <c r="H19" s="23">
        <v>0</v>
      </c>
      <c r="I19" s="23">
        <v>11246040</v>
      </c>
      <c r="J19" s="23">
        <v>12495600</v>
      </c>
      <c r="K19" s="24">
        <f t="shared" si="0"/>
        <v>24741640</v>
      </c>
      <c r="L19" s="23">
        <v>1312038</v>
      </c>
      <c r="M19" s="24">
        <v>21700000</v>
      </c>
      <c r="N19" s="24">
        <f t="shared" si="1"/>
        <v>1729602</v>
      </c>
      <c r="O19" s="80">
        <f t="shared" si="2"/>
        <v>86000</v>
      </c>
      <c r="P19" s="18" t="s">
        <v>482</v>
      </c>
      <c r="Q19" s="18" t="str">
        <f>IFERROR(VLOOKUP(D19,'[1]TT CÁ NHÂN'!$E$3:$F$407,2,FALSE),0)</f>
        <v>dqanh103@gmail.com</v>
      </c>
    </row>
    <row r="20" spans="1:17" s="18" customFormat="1" ht="21" customHeight="1" x14ac:dyDescent="0.25">
      <c r="A20" s="19" t="s">
        <v>31</v>
      </c>
      <c r="B20" s="20">
        <v>18</v>
      </c>
      <c r="C20" s="21" t="s">
        <v>49</v>
      </c>
      <c r="D20" s="22">
        <v>5623455243</v>
      </c>
      <c r="E20" s="23">
        <v>0</v>
      </c>
      <c r="F20" s="23">
        <v>700000</v>
      </c>
      <c r="G20" s="23">
        <v>0</v>
      </c>
      <c r="H20" s="23">
        <v>0</v>
      </c>
      <c r="I20" s="23">
        <v>7012980</v>
      </c>
      <c r="J20" s="23">
        <v>7792200</v>
      </c>
      <c r="K20" s="24">
        <f t="shared" si="0"/>
        <v>15505180</v>
      </c>
      <c r="L20" s="23">
        <v>818181</v>
      </c>
      <c r="M20" s="24">
        <v>21700000</v>
      </c>
      <c r="N20" s="24">
        <f t="shared" si="1"/>
        <v>-7013001</v>
      </c>
      <c r="O20" s="80">
        <f t="shared" si="2"/>
        <v>0</v>
      </c>
      <c r="P20" s="18" t="s">
        <v>483</v>
      </c>
      <c r="Q20" s="18" t="str">
        <f>IFERROR(VLOOKUP(D20,'[1]TT CÁ NHÂN'!$E$3:$F$407,2,FALSE),0)</f>
        <v>tuyendangquang@gmail.com</v>
      </c>
    </row>
    <row r="21" spans="1:17" s="18" customFormat="1" ht="21" customHeight="1" x14ac:dyDescent="0.25">
      <c r="A21" s="32" t="s">
        <v>50</v>
      </c>
      <c r="B21" s="20">
        <v>19</v>
      </c>
      <c r="C21" s="33" t="s">
        <v>51</v>
      </c>
      <c r="D21" s="34">
        <v>5610226726</v>
      </c>
      <c r="E21" s="23">
        <v>802000</v>
      </c>
      <c r="F21" s="23">
        <v>700000</v>
      </c>
      <c r="G21" s="23">
        <v>0</v>
      </c>
      <c r="H21" s="23">
        <v>0</v>
      </c>
      <c r="I21" s="23">
        <v>8550360</v>
      </c>
      <c r="J21" s="23">
        <v>9500400</v>
      </c>
      <c r="K21" s="24">
        <f t="shared" si="0"/>
        <v>19552760</v>
      </c>
      <c r="L21" s="23">
        <v>997542</v>
      </c>
      <c r="M21" s="24">
        <v>34100000</v>
      </c>
      <c r="N21" s="24">
        <f t="shared" si="1"/>
        <v>-15544782</v>
      </c>
      <c r="O21" s="80">
        <f t="shared" si="2"/>
        <v>0</v>
      </c>
      <c r="P21" s="18" t="s">
        <v>484</v>
      </c>
      <c r="Q21" s="18" t="str">
        <f>IFERROR(VLOOKUP(D21,'[1]TT CÁ NHÂN'!$E$3:$F$407,2,FALSE),0)</f>
        <v>dangthidieumy51@gmail.com</v>
      </c>
    </row>
    <row r="22" spans="1:17" s="18" customFormat="1" ht="21" customHeight="1" x14ac:dyDescent="0.25">
      <c r="A22" s="35" t="s">
        <v>50</v>
      </c>
      <c r="B22" s="20">
        <v>20</v>
      </c>
      <c r="C22" s="36" t="s">
        <v>52</v>
      </c>
      <c r="D22" s="37">
        <v>5611149914</v>
      </c>
      <c r="E22" s="23">
        <v>0</v>
      </c>
      <c r="F22" s="23">
        <v>0</v>
      </c>
      <c r="G22" s="23">
        <v>0</v>
      </c>
      <c r="H22" s="23">
        <v>0</v>
      </c>
      <c r="I22" s="23">
        <v>0</v>
      </c>
      <c r="J22" s="23">
        <v>14300000</v>
      </c>
      <c r="K22" s="24">
        <f t="shared" si="0"/>
        <v>14300000</v>
      </c>
      <c r="L22" s="23">
        <v>0</v>
      </c>
      <c r="M22" s="24">
        <v>15500000</v>
      </c>
      <c r="N22" s="24">
        <f t="shared" si="1"/>
        <v>-1200000</v>
      </c>
      <c r="O22" s="80">
        <f t="shared" si="2"/>
        <v>0</v>
      </c>
      <c r="P22" s="18" t="s">
        <v>485</v>
      </c>
      <c r="Q22" s="18" t="str">
        <f>IFERROR(VLOOKUP(D22,'[1]TT CÁ NHÂN'!$E$3:$F$407,2,FALSE),0)</f>
        <v>bshuong65cdc@gmail.com</v>
      </c>
    </row>
    <row r="23" spans="1:17" s="18" customFormat="1" ht="21" customHeight="1" x14ac:dyDescent="0.25">
      <c r="A23" s="19" t="s">
        <v>40</v>
      </c>
      <c r="B23" s="20">
        <v>21</v>
      </c>
      <c r="C23" s="26" t="s">
        <v>53</v>
      </c>
      <c r="D23" s="27">
        <v>5610343616</v>
      </c>
      <c r="E23" s="23">
        <v>0</v>
      </c>
      <c r="F23" s="23">
        <v>700000</v>
      </c>
      <c r="G23" s="23">
        <v>0</v>
      </c>
      <c r="H23" s="23">
        <v>0</v>
      </c>
      <c r="I23" s="23">
        <v>10150920</v>
      </c>
      <c r="J23" s="23">
        <v>11278800</v>
      </c>
      <c r="K23" s="24">
        <f t="shared" si="0"/>
        <v>22129720</v>
      </c>
      <c r="L23" s="23">
        <v>1184274</v>
      </c>
      <c r="M23" s="24">
        <v>21700000</v>
      </c>
      <c r="N23" s="24">
        <f t="shared" si="1"/>
        <v>-754554</v>
      </c>
      <c r="O23" s="80">
        <f t="shared" si="2"/>
        <v>0</v>
      </c>
      <c r="P23" s="18" t="s">
        <v>486</v>
      </c>
      <c r="Q23" s="18" t="str">
        <f>IFERROR(VLOOKUP(D23,'[1]TT CÁ NHÂN'!$E$3:$F$407,2,FALSE),0)</f>
        <v>nguyenkimdang84@gmail.com</v>
      </c>
    </row>
    <row r="24" spans="1:17" s="18" customFormat="1" ht="21" customHeight="1" x14ac:dyDescent="0.25">
      <c r="A24" s="19" t="s">
        <v>38</v>
      </c>
      <c r="B24" s="20">
        <v>22</v>
      </c>
      <c r="C24" s="26" t="s">
        <v>54</v>
      </c>
      <c r="D24" s="27">
        <v>5610219036</v>
      </c>
      <c r="E24" s="23">
        <v>0</v>
      </c>
      <c r="F24" s="23">
        <v>700000</v>
      </c>
      <c r="G24" s="23">
        <v>0</v>
      </c>
      <c r="H24" s="23">
        <v>0</v>
      </c>
      <c r="I24" s="23">
        <v>7707960</v>
      </c>
      <c r="J24" s="23">
        <v>8564400</v>
      </c>
      <c r="K24" s="24">
        <f t="shared" si="0"/>
        <v>16972360</v>
      </c>
      <c r="L24" s="23">
        <v>899262</v>
      </c>
      <c r="M24" s="24">
        <v>15500000</v>
      </c>
      <c r="N24" s="24">
        <f t="shared" si="1"/>
        <v>573098</v>
      </c>
      <c r="O24" s="80">
        <f t="shared" si="2"/>
        <v>29000</v>
      </c>
      <c r="P24" s="18" t="s">
        <v>487</v>
      </c>
      <c r="Q24" s="18" t="str">
        <f>IFERROR(VLOOKUP(D24,'[1]TT CÁ NHÂN'!$E$3:$F$407,2,FALSE),0)</f>
        <v>mai177khoi@gmail.com</v>
      </c>
    </row>
    <row r="25" spans="1:17" s="18" customFormat="1" ht="21" customHeight="1" x14ac:dyDescent="0.25">
      <c r="A25" s="19" t="s">
        <v>55</v>
      </c>
      <c r="B25" s="20">
        <v>23</v>
      </c>
      <c r="C25" s="26" t="s">
        <v>56</v>
      </c>
      <c r="D25" s="27">
        <v>5611151256</v>
      </c>
      <c r="E25" s="23">
        <v>0</v>
      </c>
      <c r="F25" s="23">
        <v>700000</v>
      </c>
      <c r="G25" s="23">
        <v>0</v>
      </c>
      <c r="H25" s="23">
        <v>0</v>
      </c>
      <c r="I25" s="23">
        <v>7707960</v>
      </c>
      <c r="J25" s="23">
        <v>8564400</v>
      </c>
      <c r="K25" s="24">
        <f t="shared" si="0"/>
        <v>16972360</v>
      </c>
      <c r="L25" s="23">
        <v>899262</v>
      </c>
      <c r="M25" s="24">
        <v>27900000</v>
      </c>
      <c r="N25" s="24">
        <f t="shared" si="1"/>
        <v>-11826902</v>
      </c>
      <c r="O25" s="80">
        <f t="shared" si="2"/>
        <v>0</v>
      </c>
      <c r="P25" s="18" t="s">
        <v>488</v>
      </c>
      <c r="Q25" s="18" t="str">
        <f>IFERROR(VLOOKUP(D25,'[1]TT CÁ NHÂN'!$E$3:$F$407,2,FALSE),0)</f>
        <v>dangthimyle1985@gmail.com</v>
      </c>
    </row>
    <row r="26" spans="1:17" s="18" customFormat="1" ht="21" customHeight="1" x14ac:dyDescent="0.25">
      <c r="A26" s="19" t="s">
        <v>57</v>
      </c>
      <c r="B26" s="20">
        <v>24</v>
      </c>
      <c r="C26" s="26" t="s">
        <v>58</v>
      </c>
      <c r="D26" s="27">
        <v>5611040947</v>
      </c>
      <c r="E26" s="23">
        <v>0</v>
      </c>
      <c r="F26" s="23">
        <v>700000</v>
      </c>
      <c r="G26" s="23">
        <v>0</v>
      </c>
      <c r="H26" s="23">
        <v>0</v>
      </c>
      <c r="I26" s="23">
        <v>9097920</v>
      </c>
      <c r="J26" s="23">
        <v>10108800</v>
      </c>
      <c r="K26" s="24">
        <f t="shared" si="0"/>
        <v>19906720</v>
      </c>
      <c r="L26" s="23">
        <v>1061424</v>
      </c>
      <c r="M26" s="24">
        <v>15500000</v>
      </c>
      <c r="N26" s="24">
        <f t="shared" si="1"/>
        <v>3345296</v>
      </c>
      <c r="O26" s="80">
        <f t="shared" si="2"/>
        <v>167000</v>
      </c>
      <c r="P26" s="18" t="s">
        <v>489</v>
      </c>
      <c r="Q26" s="18" t="str">
        <f>IFERROR(VLOOKUP(D26,'[1]TT CÁ NHÂN'!$E$3:$F$407,2,FALSE),0)</f>
        <v>ninhchau08@gmail.com</v>
      </c>
    </row>
    <row r="27" spans="1:17" s="18" customFormat="1" ht="21" customHeight="1" x14ac:dyDescent="0.25">
      <c r="A27" s="19" t="s">
        <v>22</v>
      </c>
      <c r="B27" s="20">
        <v>25</v>
      </c>
      <c r="C27" s="26" t="s">
        <v>59</v>
      </c>
      <c r="D27" s="27">
        <v>5611151098</v>
      </c>
      <c r="E27" s="23">
        <v>0</v>
      </c>
      <c r="F27" s="23">
        <v>700000</v>
      </c>
      <c r="G27" s="23">
        <v>0</v>
      </c>
      <c r="H27" s="23">
        <v>0</v>
      </c>
      <c r="I27" s="23">
        <v>7707960</v>
      </c>
      <c r="J27" s="23">
        <v>8564400</v>
      </c>
      <c r="K27" s="24">
        <f t="shared" si="0"/>
        <v>16972360</v>
      </c>
      <c r="L27" s="23">
        <v>899262</v>
      </c>
      <c r="M27" s="24">
        <v>15500000</v>
      </c>
      <c r="N27" s="24">
        <f t="shared" si="1"/>
        <v>573098</v>
      </c>
      <c r="O27" s="80">
        <f t="shared" si="2"/>
        <v>29000</v>
      </c>
      <c r="P27" s="18" t="s">
        <v>490</v>
      </c>
      <c r="Q27" s="18" t="str">
        <f>IFERROR(VLOOKUP(D27,'[1]TT CÁ NHÂN'!$E$3:$F$407,2,FALSE),0)</f>
        <v>quynhanh8586@gmail.com</v>
      </c>
    </row>
    <row r="28" spans="1:17" s="18" customFormat="1" ht="21" customHeight="1" x14ac:dyDescent="0.25">
      <c r="A28" s="19" t="s">
        <v>50</v>
      </c>
      <c r="B28" s="20">
        <v>26</v>
      </c>
      <c r="C28" s="26" t="s">
        <v>60</v>
      </c>
      <c r="D28" s="27">
        <v>5611150077</v>
      </c>
      <c r="E28" s="23">
        <v>0</v>
      </c>
      <c r="F28" s="23">
        <v>700000</v>
      </c>
      <c r="G28" s="23">
        <v>0</v>
      </c>
      <c r="H28" s="23">
        <v>0</v>
      </c>
      <c r="I28" s="23">
        <v>8992620</v>
      </c>
      <c r="J28" s="23">
        <v>9991800</v>
      </c>
      <c r="K28" s="24">
        <f t="shared" si="0"/>
        <v>19684420</v>
      </c>
      <c r="L28" s="23">
        <v>1049139</v>
      </c>
      <c r="M28" s="24">
        <v>21700000</v>
      </c>
      <c r="N28" s="24">
        <f t="shared" si="1"/>
        <v>-3064719</v>
      </c>
      <c r="O28" s="80">
        <f t="shared" si="2"/>
        <v>0</v>
      </c>
      <c r="P28" s="18" t="s">
        <v>491</v>
      </c>
      <c r="Q28" s="18" t="str">
        <f>IFERROR(VLOOKUP(D28,'[1]TT CÁ NHÂN'!$E$3:$F$407,2,FALSE),0)</f>
        <v>chaudang78@gmail.com</v>
      </c>
    </row>
    <row r="29" spans="1:17" s="18" customFormat="1" ht="21" customHeight="1" x14ac:dyDescent="0.25">
      <c r="A29" s="19" t="s">
        <v>61</v>
      </c>
      <c r="B29" s="20">
        <v>27</v>
      </c>
      <c r="C29" s="26" t="s">
        <v>62</v>
      </c>
      <c r="D29" s="27">
        <v>5611149020</v>
      </c>
      <c r="E29" s="23">
        <v>0</v>
      </c>
      <c r="F29" s="23">
        <v>700000</v>
      </c>
      <c r="G29" s="23">
        <v>0</v>
      </c>
      <c r="H29" s="23">
        <v>0</v>
      </c>
      <c r="I29" s="23">
        <v>7012980</v>
      </c>
      <c r="J29" s="23">
        <v>7792200</v>
      </c>
      <c r="K29" s="24">
        <f t="shared" si="0"/>
        <v>15505180</v>
      </c>
      <c r="L29" s="23">
        <v>818181</v>
      </c>
      <c r="M29" s="24">
        <v>27900000</v>
      </c>
      <c r="N29" s="24">
        <f t="shared" si="1"/>
        <v>-13213001</v>
      </c>
      <c r="O29" s="80">
        <f t="shared" si="2"/>
        <v>0</v>
      </c>
      <c r="P29" s="18" t="s">
        <v>492</v>
      </c>
      <c r="Q29" s="18" t="str">
        <f>IFERROR(VLOOKUP(D29,'[1]TT CÁ NHÂN'!$E$3:$F$407,2,FALSE),0)</f>
        <v>dangthituyen88@gmail.com</v>
      </c>
    </row>
    <row r="30" spans="1:17" s="18" customFormat="1" ht="21" customHeight="1" x14ac:dyDescent="0.25">
      <c r="A30" s="38" t="s">
        <v>44</v>
      </c>
      <c r="B30" s="20">
        <v>28</v>
      </c>
      <c r="C30" s="39" t="s">
        <v>63</v>
      </c>
      <c r="D30" s="37">
        <v>8874322055</v>
      </c>
      <c r="E30" s="23">
        <v>0</v>
      </c>
      <c r="F30" s="23">
        <v>700000</v>
      </c>
      <c r="G30" s="23">
        <v>0</v>
      </c>
      <c r="H30" s="23">
        <v>0</v>
      </c>
      <c r="I30" s="23">
        <v>0</v>
      </c>
      <c r="J30" s="23">
        <v>4654260</v>
      </c>
      <c r="K30" s="24">
        <f t="shared" si="0"/>
        <v>5354260</v>
      </c>
      <c r="L30" s="23">
        <v>488697</v>
      </c>
      <c r="M30" s="24">
        <v>15500000</v>
      </c>
      <c r="N30" s="24">
        <f t="shared" si="1"/>
        <v>-10634437</v>
      </c>
      <c r="O30" s="80">
        <f t="shared" si="2"/>
        <v>0</v>
      </c>
      <c r="P30" s="18" t="s">
        <v>851</v>
      </c>
      <c r="Q30" s="18" t="str">
        <f>IFERROR(VLOOKUP(D30,'[1]TT CÁ NHÂN'!$E$3:$F$407,2,FALSE),0)</f>
        <v>daopkhanhtoan@gmail.com</v>
      </c>
    </row>
    <row r="31" spans="1:17" s="18" customFormat="1" ht="21" customHeight="1" x14ac:dyDescent="0.25">
      <c r="A31" s="19" t="s">
        <v>64</v>
      </c>
      <c r="B31" s="20">
        <v>29</v>
      </c>
      <c r="C31" s="26" t="s">
        <v>65</v>
      </c>
      <c r="D31" s="27">
        <v>5611149093</v>
      </c>
      <c r="E31" s="23">
        <v>0</v>
      </c>
      <c r="F31" s="23">
        <v>700000</v>
      </c>
      <c r="G31" s="23">
        <v>0</v>
      </c>
      <c r="H31" s="23">
        <v>0</v>
      </c>
      <c r="I31" s="23">
        <v>7012980</v>
      </c>
      <c r="J31" s="23">
        <v>7792200</v>
      </c>
      <c r="K31" s="24">
        <f t="shared" si="0"/>
        <v>15505180</v>
      </c>
      <c r="L31" s="23">
        <v>818181</v>
      </c>
      <c r="M31" s="24">
        <v>21700000</v>
      </c>
      <c r="N31" s="24">
        <f t="shared" si="1"/>
        <v>-7013001</v>
      </c>
      <c r="O31" s="80">
        <f t="shared" si="2"/>
        <v>0</v>
      </c>
      <c r="P31" s="18" t="s">
        <v>493</v>
      </c>
      <c r="Q31" s="18" t="str">
        <f>IFERROR(VLOOKUP(D31,'[1]TT CÁ NHÂN'!$E$3:$F$407,2,FALSE),0)</f>
        <v>daophucnguyen316@gmail.com</v>
      </c>
    </row>
    <row r="32" spans="1:17" s="18" customFormat="1" ht="21" customHeight="1" x14ac:dyDescent="0.25">
      <c r="A32" s="19" t="s">
        <v>27</v>
      </c>
      <c r="B32" s="20">
        <v>30</v>
      </c>
      <c r="C32" s="26" t="s">
        <v>66</v>
      </c>
      <c r="D32" s="27" t="s">
        <v>67</v>
      </c>
      <c r="E32" s="23">
        <v>0</v>
      </c>
      <c r="F32" s="23">
        <v>700000</v>
      </c>
      <c r="G32" s="23">
        <v>0</v>
      </c>
      <c r="H32" s="23">
        <v>0</v>
      </c>
      <c r="I32" s="23">
        <v>8339760</v>
      </c>
      <c r="J32" s="23">
        <v>9266400</v>
      </c>
      <c r="K32" s="24">
        <f t="shared" si="0"/>
        <v>18306160</v>
      </c>
      <c r="L32" s="23">
        <v>972972</v>
      </c>
      <c r="M32" s="24">
        <v>27900000</v>
      </c>
      <c r="N32" s="24">
        <f t="shared" si="1"/>
        <v>-10566812</v>
      </c>
      <c r="O32" s="80">
        <f t="shared" si="2"/>
        <v>0</v>
      </c>
      <c r="P32" s="18" t="s">
        <v>850</v>
      </c>
      <c r="Q32" s="18" t="str">
        <f>IFERROR(VLOOKUP(D32,'[1]TT CÁ NHÂN'!$E$3:$F$407,2,FALSE),0)</f>
        <v>haiytdpquangnam@gmail.com</v>
      </c>
    </row>
    <row r="33" spans="1:17" s="18" customFormat="1" ht="21" customHeight="1" x14ac:dyDescent="0.25">
      <c r="A33" s="19" t="s">
        <v>50</v>
      </c>
      <c r="B33" s="20">
        <v>31</v>
      </c>
      <c r="C33" s="26" t="s">
        <v>68</v>
      </c>
      <c r="D33" s="27">
        <v>5611149950</v>
      </c>
      <c r="E33" s="23">
        <v>0</v>
      </c>
      <c r="F33" s="23">
        <v>700000</v>
      </c>
      <c r="G33" s="23">
        <v>0</v>
      </c>
      <c r="H33" s="23">
        <v>3807830</v>
      </c>
      <c r="I33" s="23">
        <v>7707960</v>
      </c>
      <c r="J33" s="23">
        <v>8564400</v>
      </c>
      <c r="K33" s="24">
        <f t="shared" si="0"/>
        <v>20780190</v>
      </c>
      <c r="L33" s="23">
        <v>899262</v>
      </c>
      <c r="M33" s="24">
        <v>27900000</v>
      </c>
      <c r="N33" s="24">
        <f t="shared" si="1"/>
        <v>-8019072</v>
      </c>
      <c r="O33" s="80">
        <f t="shared" si="2"/>
        <v>0</v>
      </c>
      <c r="P33" s="18" t="s">
        <v>494</v>
      </c>
      <c r="Q33" s="18" t="str">
        <f>IFERROR(VLOOKUP(D33,'[1]TT CÁ NHÂN'!$E$3:$F$407,2,FALSE),0)</f>
        <v>phuongthu1112@gmail.com</v>
      </c>
    </row>
    <row r="34" spans="1:17" s="18" customFormat="1" ht="21" customHeight="1" x14ac:dyDescent="0.25">
      <c r="A34" s="19" t="s">
        <v>27</v>
      </c>
      <c r="B34" s="20">
        <v>32</v>
      </c>
      <c r="C34" s="26" t="s">
        <v>69</v>
      </c>
      <c r="D34" s="27" t="s">
        <v>70</v>
      </c>
      <c r="E34" s="23">
        <v>0</v>
      </c>
      <c r="F34" s="23">
        <v>700000</v>
      </c>
      <c r="G34" s="23">
        <v>0</v>
      </c>
      <c r="H34" s="23">
        <v>0</v>
      </c>
      <c r="I34" s="23">
        <v>7707960</v>
      </c>
      <c r="J34" s="23">
        <v>8564400</v>
      </c>
      <c r="K34" s="24">
        <f t="shared" si="0"/>
        <v>16972360</v>
      </c>
      <c r="L34" s="23">
        <v>899262</v>
      </c>
      <c r="M34" s="24">
        <v>15500000</v>
      </c>
      <c r="N34" s="24">
        <f t="shared" si="1"/>
        <v>573098</v>
      </c>
      <c r="O34" s="80">
        <f t="shared" si="2"/>
        <v>29000</v>
      </c>
      <c r="P34" s="18" t="s">
        <v>495</v>
      </c>
      <c r="Q34" s="18" t="str">
        <f>IFERROR(VLOOKUP(D34,'[1]TT CÁ NHÂN'!$E$3:$F$407,2,FALSE),0)</f>
        <v>dongdinhvanytdpqn@gmail,com</v>
      </c>
    </row>
    <row r="35" spans="1:17" s="18" customFormat="1" ht="21" customHeight="1" x14ac:dyDescent="0.25">
      <c r="A35" s="19" t="s">
        <v>71</v>
      </c>
      <c r="B35" s="20">
        <v>33</v>
      </c>
      <c r="C35" s="26" t="s">
        <v>72</v>
      </c>
      <c r="D35" s="27">
        <v>5611148887</v>
      </c>
      <c r="E35" s="23">
        <v>0</v>
      </c>
      <c r="F35" s="23">
        <v>700000</v>
      </c>
      <c r="G35" s="23">
        <v>0</v>
      </c>
      <c r="H35" s="23">
        <v>0</v>
      </c>
      <c r="I35" s="23">
        <v>7012980</v>
      </c>
      <c r="J35" s="23">
        <v>7792200</v>
      </c>
      <c r="K35" s="24">
        <f t="shared" si="0"/>
        <v>15505180</v>
      </c>
      <c r="L35" s="23">
        <v>818181</v>
      </c>
      <c r="M35" s="24">
        <v>21700000</v>
      </c>
      <c r="N35" s="24">
        <f t="shared" si="1"/>
        <v>-7013001</v>
      </c>
      <c r="O35" s="80">
        <f t="shared" si="2"/>
        <v>0</v>
      </c>
      <c r="P35" s="18" t="s">
        <v>496</v>
      </c>
      <c r="Q35" s="18" t="str">
        <f>IFERROR(VLOOKUP(D35,'[1]TT CÁ NHÂN'!$E$3:$F$407,2,FALSE),0)</f>
        <v>phucxetnghiem@gmail.com</v>
      </c>
    </row>
    <row r="36" spans="1:17" s="18" customFormat="1" ht="21" customHeight="1" x14ac:dyDescent="0.25">
      <c r="A36" s="19" t="s">
        <v>44</v>
      </c>
      <c r="B36" s="20">
        <v>34</v>
      </c>
      <c r="C36" s="30" t="s">
        <v>73</v>
      </c>
      <c r="D36" s="22">
        <v>8891499807</v>
      </c>
      <c r="E36" s="23">
        <v>0</v>
      </c>
      <c r="F36" s="23">
        <v>700000</v>
      </c>
      <c r="G36" s="23">
        <v>0</v>
      </c>
      <c r="H36" s="23">
        <v>0</v>
      </c>
      <c r="I36" s="23">
        <v>7707960</v>
      </c>
      <c r="J36" s="23">
        <v>8564400</v>
      </c>
      <c r="K36" s="24">
        <f t="shared" si="0"/>
        <v>16972360</v>
      </c>
      <c r="L36" s="23">
        <v>899262</v>
      </c>
      <c r="M36" s="24">
        <v>15500000</v>
      </c>
      <c r="N36" s="24">
        <f t="shared" si="1"/>
        <v>573098</v>
      </c>
      <c r="O36" s="80">
        <f t="shared" si="2"/>
        <v>29000</v>
      </c>
      <c r="P36" s="18" t="s">
        <v>849</v>
      </c>
      <c r="Q36" s="18" t="str">
        <f>IFERROR(VLOOKUP(D36,'[1]TT CÁ NHÂN'!$E$3:$F$407,2,FALSE),0)</f>
        <v>mr.thaidv@gmail.com</v>
      </c>
    </row>
    <row r="37" spans="1:17" s="18" customFormat="1" ht="21" customHeight="1" x14ac:dyDescent="0.25">
      <c r="A37" s="19" t="s">
        <v>44</v>
      </c>
      <c r="B37" s="20">
        <v>35</v>
      </c>
      <c r="C37" s="26" t="s">
        <v>74</v>
      </c>
      <c r="D37" s="27">
        <v>5610475698</v>
      </c>
      <c r="E37" s="23">
        <v>0</v>
      </c>
      <c r="F37" s="23">
        <v>700000</v>
      </c>
      <c r="G37" s="23">
        <v>480000</v>
      </c>
      <c r="H37" s="23">
        <v>0</v>
      </c>
      <c r="I37" s="23">
        <v>11035440</v>
      </c>
      <c r="J37" s="23">
        <v>12261600</v>
      </c>
      <c r="K37" s="24">
        <f t="shared" si="0"/>
        <v>24477040</v>
      </c>
      <c r="L37" s="23">
        <v>1287468</v>
      </c>
      <c r="M37" s="24">
        <v>34100000</v>
      </c>
      <c r="N37" s="24">
        <f t="shared" si="1"/>
        <v>-10910428</v>
      </c>
      <c r="O37" s="80">
        <f t="shared" si="2"/>
        <v>0</v>
      </c>
      <c r="P37" s="18" t="s">
        <v>497</v>
      </c>
      <c r="Q37" s="18" t="str">
        <f>IFERROR(VLOOKUP(D37,'[1]TT CÁ NHÂN'!$E$3:$F$407,2,FALSE),0)</f>
        <v>doichthanh87@gmail.com</v>
      </c>
    </row>
    <row r="38" spans="1:17" s="18" customFormat="1" ht="21" customHeight="1" x14ac:dyDescent="0.25">
      <c r="A38" s="19" t="s">
        <v>25</v>
      </c>
      <c r="B38" s="20">
        <v>36</v>
      </c>
      <c r="C38" s="26" t="s">
        <v>75</v>
      </c>
      <c r="D38" s="27">
        <v>5610085501</v>
      </c>
      <c r="E38" s="23">
        <v>0</v>
      </c>
      <c r="F38" s="23">
        <v>700000</v>
      </c>
      <c r="G38" s="23">
        <v>0</v>
      </c>
      <c r="H38" s="23">
        <v>0</v>
      </c>
      <c r="I38" s="23">
        <v>8402940</v>
      </c>
      <c r="J38" s="23">
        <v>9336600</v>
      </c>
      <c r="K38" s="24">
        <f t="shared" si="0"/>
        <v>18439540</v>
      </c>
      <c r="L38" s="23">
        <v>980343</v>
      </c>
      <c r="M38" s="24">
        <v>21700000</v>
      </c>
      <c r="N38" s="24">
        <f t="shared" si="1"/>
        <v>-4240803</v>
      </c>
      <c r="O38" s="80">
        <f t="shared" si="2"/>
        <v>0</v>
      </c>
      <c r="P38" s="18" t="s">
        <v>498</v>
      </c>
      <c r="Q38" s="18" t="str">
        <f>IFERROR(VLOOKUP(D38,'[1]TT CÁ NHÂN'!$E$3:$F$407,2,FALSE),0)</f>
        <v>baongoc1102@gmail.com</v>
      </c>
    </row>
    <row r="39" spans="1:17" s="18" customFormat="1" ht="21" customHeight="1" x14ac:dyDescent="0.25">
      <c r="A39" s="19" t="s">
        <v>25</v>
      </c>
      <c r="B39" s="20">
        <v>37</v>
      </c>
      <c r="C39" s="25" t="s">
        <v>76</v>
      </c>
      <c r="D39" s="22">
        <v>8833369430</v>
      </c>
      <c r="E39" s="23">
        <v>0</v>
      </c>
      <c r="F39" s="23">
        <v>700000</v>
      </c>
      <c r="G39" s="23">
        <v>0</v>
      </c>
      <c r="H39" s="23">
        <v>0</v>
      </c>
      <c r="I39" s="23">
        <v>4928040</v>
      </c>
      <c r="J39" s="23">
        <v>5475600</v>
      </c>
      <c r="K39" s="24">
        <f t="shared" si="0"/>
        <v>11103640</v>
      </c>
      <c r="L39" s="23">
        <v>574938</v>
      </c>
      <c r="M39" s="24">
        <v>15500000</v>
      </c>
      <c r="N39" s="24">
        <f t="shared" si="1"/>
        <v>-4971298</v>
      </c>
      <c r="O39" s="80">
        <f t="shared" si="2"/>
        <v>0</v>
      </c>
      <c r="P39" s="18" t="s">
        <v>499</v>
      </c>
      <c r="Q39" s="18" t="str">
        <f>IFERROR(VLOOKUP(D39,'[1]TT CÁ NHÂN'!$E$3:$F$407,2,FALSE),0)</f>
        <v>dothanhtuyen0611@gmail.com</v>
      </c>
    </row>
    <row r="40" spans="1:17" s="18" customFormat="1" ht="21" customHeight="1" x14ac:dyDescent="0.25">
      <c r="A40" s="19" t="s">
        <v>31</v>
      </c>
      <c r="B40" s="20">
        <v>38</v>
      </c>
      <c r="C40" s="26" t="s">
        <v>77</v>
      </c>
      <c r="D40" s="27">
        <v>5611148407</v>
      </c>
      <c r="E40" s="23">
        <v>0</v>
      </c>
      <c r="F40" s="23">
        <v>700000</v>
      </c>
      <c r="G40" s="23">
        <v>0</v>
      </c>
      <c r="H40" s="23">
        <v>0</v>
      </c>
      <c r="I40" s="23">
        <v>7012980</v>
      </c>
      <c r="J40" s="23">
        <v>7792200</v>
      </c>
      <c r="K40" s="24">
        <f t="shared" si="0"/>
        <v>15505180</v>
      </c>
      <c r="L40" s="23">
        <v>818181</v>
      </c>
      <c r="M40" s="24">
        <v>34100000</v>
      </c>
      <c r="N40" s="24">
        <f t="shared" si="1"/>
        <v>-19413001</v>
      </c>
      <c r="O40" s="80">
        <f t="shared" si="2"/>
        <v>0</v>
      </c>
      <c r="P40" s="18" t="s">
        <v>500</v>
      </c>
      <c r="Q40" s="18" t="str">
        <f>IFERROR(VLOOKUP(D40,'[1]TT CÁ NHÂN'!$E$3:$F$407,2,FALSE),0)</f>
        <v>diepdo286@gmail.com</v>
      </c>
    </row>
    <row r="41" spans="1:17" s="18" customFormat="1" ht="21" customHeight="1" x14ac:dyDescent="0.25">
      <c r="A41" s="19" t="s">
        <v>55</v>
      </c>
      <c r="B41" s="20">
        <v>39</v>
      </c>
      <c r="C41" s="25" t="s">
        <v>78</v>
      </c>
      <c r="D41" s="22">
        <v>8863373266</v>
      </c>
      <c r="E41" s="23">
        <v>0</v>
      </c>
      <c r="F41" s="23">
        <v>700000</v>
      </c>
      <c r="G41" s="23">
        <v>0</v>
      </c>
      <c r="H41" s="23">
        <v>0</v>
      </c>
      <c r="I41" s="23">
        <v>7707960</v>
      </c>
      <c r="J41" s="23">
        <v>8564400</v>
      </c>
      <c r="K41" s="24">
        <f t="shared" si="0"/>
        <v>16972360</v>
      </c>
      <c r="L41" s="23">
        <v>899262</v>
      </c>
      <c r="M41" s="24">
        <v>21700000</v>
      </c>
      <c r="N41" s="24">
        <f t="shared" si="1"/>
        <v>-5626902</v>
      </c>
      <c r="O41" s="80">
        <f t="shared" si="2"/>
        <v>0</v>
      </c>
      <c r="P41" s="18" t="s">
        <v>501</v>
      </c>
      <c r="Q41" s="18" t="str">
        <f>IFERROR(VLOOKUP(D41,'[1]TT CÁ NHÂN'!$E$3:$F$407,2,FALSE),0)</f>
        <v>dokieuchinhcdc@gmail.com</v>
      </c>
    </row>
    <row r="42" spans="1:17" s="18" customFormat="1" ht="21" customHeight="1" x14ac:dyDescent="0.25">
      <c r="A42" s="19" t="s">
        <v>50</v>
      </c>
      <c r="B42" s="20">
        <v>40</v>
      </c>
      <c r="C42" s="26" t="s">
        <v>79</v>
      </c>
      <c r="D42" s="27">
        <v>5611149987</v>
      </c>
      <c r="E42" s="23">
        <v>360000</v>
      </c>
      <c r="F42" s="23">
        <v>700000</v>
      </c>
      <c r="G42" s="23">
        <v>0</v>
      </c>
      <c r="H42" s="23">
        <v>3000000</v>
      </c>
      <c r="I42" s="23">
        <v>7034040</v>
      </c>
      <c r="J42" s="23">
        <v>7815600</v>
      </c>
      <c r="K42" s="24">
        <f t="shared" si="0"/>
        <v>18909640</v>
      </c>
      <c r="L42" s="23">
        <v>820638</v>
      </c>
      <c r="M42" s="24">
        <v>27900000</v>
      </c>
      <c r="N42" s="24">
        <f t="shared" si="1"/>
        <v>-9810998</v>
      </c>
      <c r="O42" s="80">
        <f t="shared" si="2"/>
        <v>0</v>
      </c>
      <c r="P42" s="18" t="s">
        <v>502</v>
      </c>
      <c r="Q42" s="18" t="str">
        <f>IFERROR(VLOOKUP(D42,'[1]TT CÁ NHÂN'!$E$3:$F$407,2,FALSE),0)</f>
        <v>dtmloan88@gmail.com</v>
      </c>
    </row>
    <row r="43" spans="1:17" s="18" customFormat="1" ht="21" customHeight="1" x14ac:dyDescent="0.25">
      <c r="A43" s="19" t="s">
        <v>80</v>
      </c>
      <c r="B43" s="20">
        <v>41</v>
      </c>
      <c r="C43" s="25" t="s">
        <v>81</v>
      </c>
      <c r="D43" s="22">
        <v>5623908923</v>
      </c>
      <c r="E43" s="23">
        <v>0</v>
      </c>
      <c r="F43" s="23">
        <v>700000</v>
      </c>
      <c r="G43" s="23">
        <v>0</v>
      </c>
      <c r="H43" s="23">
        <v>0</v>
      </c>
      <c r="I43" s="23">
        <v>7012980</v>
      </c>
      <c r="J43" s="23">
        <v>7792200</v>
      </c>
      <c r="K43" s="24">
        <f t="shared" si="0"/>
        <v>15505180</v>
      </c>
      <c r="L43" s="23">
        <v>818181</v>
      </c>
      <c r="M43" s="24">
        <v>21700000</v>
      </c>
      <c r="N43" s="24">
        <f t="shared" si="1"/>
        <v>-7013001</v>
      </c>
      <c r="O43" s="80">
        <f t="shared" si="2"/>
        <v>0</v>
      </c>
      <c r="P43" s="18" t="s">
        <v>503</v>
      </c>
      <c r="Q43" s="18" t="str">
        <f>IFERROR(VLOOKUP(D43,'[1]TT CÁ NHÂN'!$E$3:$F$407,2,FALSE),0)</f>
        <v>dolinhytcc@gmail.com</v>
      </c>
    </row>
    <row r="44" spans="1:17" s="18" customFormat="1" ht="21" customHeight="1" x14ac:dyDescent="0.25">
      <c r="A44" s="19" t="s">
        <v>64</v>
      </c>
      <c r="B44" s="20">
        <v>42</v>
      </c>
      <c r="C44" s="26" t="s">
        <v>82</v>
      </c>
      <c r="D44" s="27">
        <v>5611151159</v>
      </c>
      <c r="E44" s="23">
        <v>0</v>
      </c>
      <c r="F44" s="23">
        <v>700000</v>
      </c>
      <c r="G44" s="23">
        <v>0</v>
      </c>
      <c r="H44" s="23">
        <v>0</v>
      </c>
      <c r="I44" s="23">
        <v>7686900</v>
      </c>
      <c r="J44" s="23">
        <v>8541000</v>
      </c>
      <c r="K44" s="24">
        <f t="shared" si="0"/>
        <v>16927900</v>
      </c>
      <c r="L44" s="23">
        <v>896805</v>
      </c>
      <c r="M44" s="24">
        <v>27900000</v>
      </c>
      <c r="N44" s="24">
        <f t="shared" si="1"/>
        <v>-11868905</v>
      </c>
      <c r="O44" s="80">
        <f t="shared" si="2"/>
        <v>0</v>
      </c>
      <c r="P44" s="18" t="s">
        <v>848</v>
      </c>
      <c r="Q44" s="18" t="str">
        <f>IFERROR(VLOOKUP(D44,'[1]TT CÁ NHÂN'!$E$3:$F$407,2,FALSE),0)</f>
        <v>dothuha7789@gmail.com</v>
      </c>
    </row>
    <row r="45" spans="1:17" s="18" customFormat="1" ht="21" customHeight="1" x14ac:dyDescent="0.25">
      <c r="A45" s="19" t="s">
        <v>22</v>
      </c>
      <c r="B45" s="20">
        <v>43</v>
      </c>
      <c r="C45" s="31" t="s">
        <v>83</v>
      </c>
      <c r="D45" s="22">
        <v>5623447930</v>
      </c>
      <c r="E45" s="23">
        <v>0</v>
      </c>
      <c r="F45" s="23">
        <v>700000</v>
      </c>
      <c r="G45" s="23">
        <v>0</v>
      </c>
      <c r="H45" s="23">
        <v>0</v>
      </c>
      <c r="I45" s="23">
        <v>11096280</v>
      </c>
      <c r="J45" s="23">
        <v>12682800</v>
      </c>
      <c r="K45" s="24">
        <f t="shared" si="0"/>
        <v>24479080</v>
      </c>
      <c r="L45" s="23">
        <v>1331694</v>
      </c>
      <c r="M45" s="24">
        <v>15500000</v>
      </c>
      <c r="N45" s="24">
        <f t="shared" si="1"/>
        <v>7647386</v>
      </c>
      <c r="O45" s="80">
        <f t="shared" si="2"/>
        <v>382000</v>
      </c>
      <c r="P45" s="18" t="s">
        <v>504</v>
      </c>
      <c r="Q45" s="18" t="str">
        <f>IFERROR(VLOOKUP(D45,'[1]TT CÁ NHÂN'!$E$3:$F$407,2,FALSE),0)</f>
        <v>truongluu74@gmail.com</v>
      </c>
    </row>
    <row r="46" spans="1:17" s="18" customFormat="1" ht="21" customHeight="1" x14ac:dyDescent="0.25">
      <c r="A46" s="19" t="s">
        <v>50</v>
      </c>
      <c r="B46" s="20">
        <v>44</v>
      </c>
      <c r="C46" s="26" t="s">
        <v>84</v>
      </c>
      <c r="D46" s="27">
        <v>5611150314</v>
      </c>
      <c r="E46" s="23">
        <v>0</v>
      </c>
      <c r="F46" s="23">
        <v>700000</v>
      </c>
      <c r="G46" s="23">
        <v>0</v>
      </c>
      <c r="H46" s="23">
        <v>6054734</v>
      </c>
      <c r="I46" s="23">
        <v>12379910</v>
      </c>
      <c r="J46" s="23">
        <v>13755456</v>
      </c>
      <c r="K46" s="24">
        <f t="shared" si="0"/>
        <v>32890100</v>
      </c>
      <c r="L46" s="23">
        <v>1444323</v>
      </c>
      <c r="M46" s="24">
        <v>21700000</v>
      </c>
      <c r="N46" s="24">
        <f t="shared" si="1"/>
        <v>9745777</v>
      </c>
      <c r="O46" s="80">
        <f t="shared" si="2"/>
        <v>487000</v>
      </c>
      <c r="P46" s="18" t="s">
        <v>505</v>
      </c>
      <c r="Q46" s="18" t="str">
        <f>IFERROR(VLOOKUP(D46,'[1]TT CÁ NHÂN'!$E$3:$F$407,2,FALSE),0)</f>
        <v>landovan69@gmail.com</v>
      </c>
    </row>
    <row r="47" spans="1:17" s="18" customFormat="1" ht="21" customHeight="1" x14ac:dyDescent="0.25">
      <c r="A47" s="19" t="s">
        <v>38</v>
      </c>
      <c r="B47" s="20">
        <v>45</v>
      </c>
      <c r="C47" s="26" t="s">
        <v>85</v>
      </c>
      <c r="D47" s="27">
        <v>5610570575</v>
      </c>
      <c r="E47" s="23">
        <v>0</v>
      </c>
      <c r="F47" s="23">
        <v>700000</v>
      </c>
      <c r="G47" s="23">
        <v>0</v>
      </c>
      <c r="H47" s="23">
        <v>0</v>
      </c>
      <c r="I47" s="23">
        <v>7707960</v>
      </c>
      <c r="J47" s="23">
        <v>8564400</v>
      </c>
      <c r="K47" s="24">
        <f t="shared" si="0"/>
        <v>16972360</v>
      </c>
      <c r="L47" s="23">
        <v>899262</v>
      </c>
      <c r="M47" s="24">
        <v>21700000</v>
      </c>
      <c r="N47" s="24">
        <f t="shared" si="1"/>
        <v>-5626902</v>
      </c>
      <c r="O47" s="80">
        <f t="shared" si="2"/>
        <v>0</v>
      </c>
      <c r="P47" s="18" t="s">
        <v>506</v>
      </c>
      <c r="Q47" s="18" t="str">
        <f>IFERROR(VLOOKUP(D47,'[1]TT CÁ NHÂN'!$E$3:$F$407,2,FALSE),0)</f>
        <v>truc1210@gmail.com</v>
      </c>
    </row>
    <row r="48" spans="1:17" s="18" customFormat="1" ht="21" customHeight="1" x14ac:dyDescent="0.25">
      <c r="A48" s="19" t="s">
        <v>50</v>
      </c>
      <c r="B48" s="20">
        <v>46</v>
      </c>
      <c r="C48" s="40" t="s">
        <v>86</v>
      </c>
      <c r="D48" s="22">
        <v>5623455155</v>
      </c>
      <c r="E48" s="23">
        <v>0</v>
      </c>
      <c r="F48" s="23">
        <v>700000</v>
      </c>
      <c r="G48" s="23">
        <v>0</v>
      </c>
      <c r="H48" s="23">
        <v>0</v>
      </c>
      <c r="I48" s="23">
        <v>6318000</v>
      </c>
      <c r="J48" s="23">
        <v>7020000</v>
      </c>
      <c r="K48" s="24">
        <f t="shared" si="0"/>
        <v>14038000</v>
      </c>
      <c r="L48" s="23">
        <v>737100</v>
      </c>
      <c r="M48" s="24">
        <v>21700000</v>
      </c>
      <c r="N48" s="24">
        <f t="shared" si="1"/>
        <v>-8399100</v>
      </c>
      <c r="O48" s="80">
        <f t="shared" si="2"/>
        <v>0</v>
      </c>
      <c r="P48" s="18" t="s">
        <v>507</v>
      </c>
      <c r="Q48" s="18" t="str">
        <f>IFERROR(VLOOKUP(D48,'[1]TT CÁ NHÂN'!$E$3:$F$407,2,FALSE),0)</f>
        <v>doanminhphuoc1985@gmail.com</v>
      </c>
    </row>
    <row r="49" spans="1:17" s="18" customFormat="1" ht="21" customHeight="1" x14ac:dyDescent="0.25">
      <c r="A49" s="19" t="s">
        <v>27</v>
      </c>
      <c r="B49" s="20">
        <v>47</v>
      </c>
      <c r="C49" s="41" t="s">
        <v>87</v>
      </c>
      <c r="D49" s="22">
        <v>5623455146</v>
      </c>
      <c r="E49" s="23">
        <v>0</v>
      </c>
      <c r="F49" s="23">
        <v>700000</v>
      </c>
      <c r="G49" s="23">
        <v>0</v>
      </c>
      <c r="H49" s="23">
        <v>0</v>
      </c>
      <c r="I49" s="23">
        <v>7707960</v>
      </c>
      <c r="J49" s="23">
        <v>8564400</v>
      </c>
      <c r="K49" s="24">
        <f t="shared" si="0"/>
        <v>16972360</v>
      </c>
      <c r="L49" s="23">
        <v>899262</v>
      </c>
      <c r="M49" s="24">
        <v>15500000</v>
      </c>
      <c r="N49" s="24">
        <f t="shared" si="1"/>
        <v>573098</v>
      </c>
      <c r="O49" s="80">
        <f t="shared" si="2"/>
        <v>29000</v>
      </c>
      <c r="P49" s="18" t="s">
        <v>508</v>
      </c>
      <c r="Q49" s="18" t="str">
        <f>IFERROR(VLOOKUP(D49,'[1]TT CÁ NHÂN'!$E$3:$F$407,2,FALSE),0)</f>
        <v>doanthimyy1991@gmail.com</v>
      </c>
    </row>
    <row r="50" spans="1:17" s="18" customFormat="1" ht="21" customHeight="1" x14ac:dyDescent="0.25">
      <c r="A50" s="19" t="s">
        <v>50</v>
      </c>
      <c r="B50" s="20">
        <v>48</v>
      </c>
      <c r="C50" s="26" t="s">
        <v>88</v>
      </c>
      <c r="D50" s="27">
        <v>5611150217</v>
      </c>
      <c r="E50" s="23">
        <v>0</v>
      </c>
      <c r="F50" s="23">
        <v>700000</v>
      </c>
      <c r="G50" s="23">
        <v>0</v>
      </c>
      <c r="H50" s="23">
        <v>800000</v>
      </c>
      <c r="I50" s="23">
        <v>7686900</v>
      </c>
      <c r="J50" s="23">
        <v>8541000</v>
      </c>
      <c r="K50" s="24">
        <f t="shared" si="0"/>
        <v>17727900</v>
      </c>
      <c r="L50" s="23">
        <v>896805</v>
      </c>
      <c r="M50" s="24">
        <v>15500000</v>
      </c>
      <c r="N50" s="24">
        <f t="shared" si="1"/>
        <v>1331095</v>
      </c>
      <c r="O50" s="80">
        <f t="shared" si="2"/>
        <v>67000</v>
      </c>
      <c r="P50" s="18" t="s">
        <v>509</v>
      </c>
      <c r="Q50" s="18" t="str">
        <f>IFERROR(VLOOKUP(D50,'[1]TT CÁ NHÂN'!$E$3:$F$407,2,FALSE),0)</f>
        <v>doanthu2013@gmail.com</v>
      </c>
    </row>
    <row r="51" spans="1:17" s="18" customFormat="1" ht="21" customHeight="1" x14ac:dyDescent="0.25">
      <c r="A51" s="19" t="s">
        <v>34</v>
      </c>
      <c r="B51" s="20">
        <v>49</v>
      </c>
      <c r="C51" s="26" t="s">
        <v>89</v>
      </c>
      <c r="D51" s="27">
        <v>5610226735</v>
      </c>
      <c r="E51" s="23">
        <v>0</v>
      </c>
      <c r="F51" s="23">
        <v>700000</v>
      </c>
      <c r="G51" s="23">
        <v>1080000</v>
      </c>
      <c r="H51" s="23">
        <v>0</v>
      </c>
      <c r="I51" s="23">
        <v>8599500</v>
      </c>
      <c r="J51" s="23">
        <v>12285000</v>
      </c>
      <c r="K51" s="24">
        <f t="shared" si="0"/>
        <v>22664500</v>
      </c>
      <c r="L51" s="23">
        <v>1289925</v>
      </c>
      <c r="M51" s="24">
        <v>27900000</v>
      </c>
      <c r="N51" s="24">
        <f t="shared" si="1"/>
        <v>-6525425</v>
      </c>
      <c r="O51" s="80">
        <f t="shared" si="2"/>
        <v>0</v>
      </c>
      <c r="P51" s="18" t="s">
        <v>510</v>
      </c>
      <c r="Q51" s="18" t="str">
        <f>IFERROR(VLOOKUP(D51,'[1]TT CÁ NHÂN'!$E$3:$F$407,2,FALSE),0)</f>
        <v>duongammau@gmail.com</v>
      </c>
    </row>
    <row r="52" spans="1:17" s="18" customFormat="1" ht="21" customHeight="1" x14ac:dyDescent="0.25">
      <c r="A52" s="19" t="s">
        <v>31</v>
      </c>
      <c r="B52" s="20">
        <v>50</v>
      </c>
      <c r="C52" s="26" t="s">
        <v>90</v>
      </c>
      <c r="D52" s="27">
        <v>5611148355</v>
      </c>
      <c r="E52" s="23">
        <v>0</v>
      </c>
      <c r="F52" s="23">
        <v>700000</v>
      </c>
      <c r="G52" s="23">
        <v>0</v>
      </c>
      <c r="H52" s="23">
        <v>0</v>
      </c>
      <c r="I52" s="23">
        <v>5321160</v>
      </c>
      <c r="J52" s="23">
        <v>6224400</v>
      </c>
      <c r="K52" s="24">
        <f t="shared" si="0"/>
        <v>12245560</v>
      </c>
      <c r="L52" s="23">
        <v>653562</v>
      </c>
      <c r="M52" s="24">
        <v>15500000</v>
      </c>
      <c r="N52" s="24">
        <f t="shared" si="1"/>
        <v>-3908002</v>
      </c>
      <c r="O52" s="80">
        <f t="shared" si="2"/>
        <v>0</v>
      </c>
      <c r="P52" s="18" t="s">
        <v>511</v>
      </c>
      <c r="Q52" s="18" t="str">
        <f>IFERROR(VLOOKUP(D52,'[1]TT CÁ NHÂN'!$E$3:$F$407,2,FALSE),0)</f>
        <v>duongduchoang70@gmail.com</v>
      </c>
    </row>
    <row r="53" spans="1:17" s="18" customFormat="1" ht="21" customHeight="1" x14ac:dyDescent="0.25">
      <c r="A53" s="19" t="s">
        <v>42</v>
      </c>
      <c r="B53" s="20">
        <v>51</v>
      </c>
      <c r="C53" s="31" t="s">
        <v>91</v>
      </c>
      <c r="D53" s="22">
        <v>8853369414</v>
      </c>
      <c r="E53" s="23">
        <v>0</v>
      </c>
      <c r="F53" s="23">
        <v>700000</v>
      </c>
      <c r="G53" s="23">
        <v>0</v>
      </c>
      <c r="H53" s="23">
        <v>0</v>
      </c>
      <c r="I53" s="23">
        <v>8065980</v>
      </c>
      <c r="J53" s="23">
        <v>8962200</v>
      </c>
      <c r="K53" s="24">
        <f t="shared" si="0"/>
        <v>17728180</v>
      </c>
      <c r="L53" s="23">
        <v>941031</v>
      </c>
      <c r="M53" s="24">
        <v>21700000</v>
      </c>
      <c r="N53" s="24">
        <f t="shared" si="1"/>
        <v>-4912851</v>
      </c>
      <c r="O53" s="80">
        <f t="shared" si="2"/>
        <v>0</v>
      </c>
      <c r="P53" s="18" t="s">
        <v>512</v>
      </c>
      <c r="Q53" s="18" t="str">
        <f>IFERROR(VLOOKUP(D53,'[1]TT CÁ NHÂN'!$E$3:$F$407,2,FALSE),0)</f>
        <v>duongquocthaotk92@gmail.com</v>
      </c>
    </row>
    <row r="54" spans="1:17" s="18" customFormat="1" ht="21" customHeight="1" x14ac:dyDescent="0.25">
      <c r="A54" s="19" t="s">
        <v>55</v>
      </c>
      <c r="B54" s="20">
        <v>52</v>
      </c>
      <c r="C54" s="26" t="s">
        <v>92</v>
      </c>
      <c r="D54" s="27">
        <v>5611150095</v>
      </c>
      <c r="E54" s="23">
        <v>0</v>
      </c>
      <c r="F54" s="23">
        <v>700000</v>
      </c>
      <c r="G54" s="23">
        <v>0</v>
      </c>
      <c r="H54" s="23">
        <v>0</v>
      </c>
      <c r="I54" s="23">
        <v>9792900</v>
      </c>
      <c r="J54" s="23">
        <v>10881000</v>
      </c>
      <c r="K54" s="24">
        <f t="shared" si="0"/>
        <v>21373900</v>
      </c>
      <c r="L54" s="23">
        <v>1142505</v>
      </c>
      <c r="M54" s="24">
        <v>21700000</v>
      </c>
      <c r="N54" s="24">
        <f t="shared" si="1"/>
        <v>-1468605</v>
      </c>
      <c r="O54" s="80">
        <f t="shared" si="2"/>
        <v>0</v>
      </c>
      <c r="P54" s="18" t="s">
        <v>513</v>
      </c>
      <c r="Q54" s="18" t="str">
        <f>IFERROR(VLOOKUP(D54,'[1]TT CÁ NHÂN'!$E$3:$F$407,2,FALSE),0)</f>
        <v>duongmuoi81973@gmail.com</v>
      </c>
    </row>
    <row r="55" spans="1:17" s="18" customFormat="1" ht="21" customHeight="1" x14ac:dyDescent="0.25">
      <c r="A55" s="19" t="s">
        <v>27</v>
      </c>
      <c r="B55" s="20">
        <v>53</v>
      </c>
      <c r="C55" s="30" t="s">
        <v>93</v>
      </c>
      <c r="D55" s="22">
        <v>5623455137</v>
      </c>
      <c r="E55" s="23">
        <v>0</v>
      </c>
      <c r="F55" s="23">
        <v>700000</v>
      </c>
      <c r="G55" s="23">
        <v>0</v>
      </c>
      <c r="H55" s="23">
        <v>0</v>
      </c>
      <c r="I55" s="23">
        <v>9645480</v>
      </c>
      <c r="J55" s="23">
        <v>10717200</v>
      </c>
      <c r="K55" s="24">
        <f t="shared" si="0"/>
        <v>21062680</v>
      </c>
      <c r="L55" s="23">
        <v>1125306</v>
      </c>
      <c r="M55" s="24">
        <v>27900000</v>
      </c>
      <c r="N55" s="24">
        <f t="shared" si="1"/>
        <v>-7962626</v>
      </c>
      <c r="O55" s="80">
        <f t="shared" si="2"/>
        <v>0</v>
      </c>
      <c r="P55" s="18" t="s">
        <v>514</v>
      </c>
      <c r="Q55" s="18" t="str">
        <f>IFERROR(VLOOKUP(D55,'[1]TT CÁ NHÂN'!$E$3:$F$407,2,FALSE),0)</f>
        <v>ngocanhqnam@gmail.com</v>
      </c>
    </row>
    <row r="56" spans="1:17" s="18" customFormat="1" ht="21" customHeight="1" x14ac:dyDescent="0.25">
      <c r="A56" s="19" t="s">
        <v>94</v>
      </c>
      <c r="B56" s="20">
        <v>54</v>
      </c>
      <c r="C56" s="26" t="s">
        <v>95</v>
      </c>
      <c r="D56" s="27">
        <v>5610143728</v>
      </c>
      <c r="E56" s="23">
        <v>0</v>
      </c>
      <c r="F56" s="23">
        <v>700000</v>
      </c>
      <c r="G56" s="23">
        <v>0</v>
      </c>
      <c r="H56" s="23">
        <v>0</v>
      </c>
      <c r="I56" s="23">
        <v>7707960</v>
      </c>
      <c r="J56" s="23">
        <v>8564400</v>
      </c>
      <c r="K56" s="24">
        <f t="shared" si="0"/>
        <v>16972360</v>
      </c>
      <c r="L56" s="23">
        <v>899262</v>
      </c>
      <c r="M56" s="24">
        <v>15500000</v>
      </c>
      <c r="N56" s="24">
        <f t="shared" si="1"/>
        <v>573098</v>
      </c>
      <c r="O56" s="80">
        <f t="shared" si="2"/>
        <v>29000</v>
      </c>
      <c r="P56" s="18" t="s">
        <v>515</v>
      </c>
      <c r="Q56" s="18" t="str">
        <f>IFERROR(VLOOKUP(D56,'[1]TT CÁ NHÂN'!$E$3:$F$407,2,FALSE),0)</f>
        <v>nhanthao1412@gmail.com</v>
      </c>
    </row>
    <row r="57" spans="1:17" s="18" customFormat="1" ht="21" customHeight="1" x14ac:dyDescent="0.25">
      <c r="A57" s="19" t="s">
        <v>55</v>
      </c>
      <c r="B57" s="20">
        <v>55</v>
      </c>
      <c r="C57" s="25" t="s">
        <v>96</v>
      </c>
      <c r="D57" s="22">
        <v>5623448702</v>
      </c>
      <c r="E57" s="23">
        <v>0</v>
      </c>
      <c r="F57" s="23">
        <v>700000</v>
      </c>
      <c r="G57" s="23">
        <v>0</v>
      </c>
      <c r="H57" s="23">
        <v>0</v>
      </c>
      <c r="I57" s="23">
        <v>9455940</v>
      </c>
      <c r="J57" s="23">
        <v>10506600</v>
      </c>
      <c r="K57" s="24">
        <f t="shared" si="0"/>
        <v>20662540</v>
      </c>
      <c r="L57" s="23">
        <v>1103193</v>
      </c>
      <c r="M57" s="24">
        <v>27900000</v>
      </c>
      <c r="N57" s="24">
        <f t="shared" si="1"/>
        <v>-8340653</v>
      </c>
      <c r="O57" s="80">
        <f t="shared" si="2"/>
        <v>0</v>
      </c>
      <c r="P57" s="18" t="s">
        <v>516</v>
      </c>
      <c r="Q57" s="18" t="str">
        <f>IFERROR(VLOOKUP(D57,'[1]TT CÁ NHÂN'!$E$3:$F$407,2,FALSE),0)</f>
        <v>hadieuyen@gmail.com</v>
      </c>
    </row>
    <row r="58" spans="1:17" s="18" customFormat="1" ht="21" customHeight="1" x14ac:dyDescent="0.25">
      <c r="A58" s="19" t="s">
        <v>57</v>
      </c>
      <c r="B58" s="20">
        <v>56</v>
      </c>
      <c r="C58" s="26" t="s">
        <v>97</v>
      </c>
      <c r="D58" s="27">
        <v>5610225963</v>
      </c>
      <c r="E58" s="23">
        <v>0</v>
      </c>
      <c r="F58" s="23">
        <v>700000</v>
      </c>
      <c r="G58" s="23">
        <v>0</v>
      </c>
      <c r="H58" s="23">
        <v>0</v>
      </c>
      <c r="I58" s="23">
        <v>9097920</v>
      </c>
      <c r="J58" s="23">
        <v>10108800</v>
      </c>
      <c r="K58" s="24">
        <f t="shared" si="0"/>
        <v>19906720</v>
      </c>
      <c r="L58" s="23">
        <v>1061424</v>
      </c>
      <c r="M58" s="24">
        <v>21700000</v>
      </c>
      <c r="N58" s="24">
        <f t="shared" si="1"/>
        <v>-2854704</v>
      </c>
      <c r="O58" s="80">
        <f t="shared" si="2"/>
        <v>0</v>
      </c>
      <c r="P58" s="18" t="s">
        <v>517</v>
      </c>
      <c r="Q58" s="18" t="str">
        <f>IFERROR(VLOOKUP(D58,'[1]TT CÁ NHÂN'!$E$3:$F$407,2,FALSE),0)</f>
        <v>hathuha82@gmail.com</v>
      </c>
    </row>
    <row r="59" spans="1:17" s="18" customFormat="1" ht="21" customHeight="1" x14ac:dyDescent="0.25">
      <c r="A59" s="19" t="s">
        <v>44</v>
      </c>
      <c r="B59" s="20">
        <v>57</v>
      </c>
      <c r="C59" s="26" t="s">
        <v>98</v>
      </c>
      <c r="D59" s="27" t="s">
        <v>99</v>
      </c>
      <c r="E59" s="23">
        <v>0</v>
      </c>
      <c r="F59" s="23">
        <v>700000</v>
      </c>
      <c r="G59" s="23">
        <v>0</v>
      </c>
      <c r="H59" s="23">
        <v>0</v>
      </c>
      <c r="I59" s="23">
        <v>8402940</v>
      </c>
      <c r="J59" s="23">
        <v>9336600</v>
      </c>
      <c r="K59" s="24">
        <f t="shared" si="0"/>
        <v>18439540</v>
      </c>
      <c r="L59" s="23">
        <v>980343</v>
      </c>
      <c r="M59" s="24">
        <v>15500000</v>
      </c>
      <c r="N59" s="24">
        <f t="shared" si="1"/>
        <v>1959197</v>
      </c>
      <c r="O59" s="80">
        <f t="shared" si="2"/>
        <v>98000</v>
      </c>
      <c r="P59" s="18" t="s">
        <v>518</v>
      </c>
      <c r="Q59" s="18" t="str">
        <f>IFERROR(VLOOKUP(D59,'[1]TT CÁ NHÂN'!$E$3:$F$407,2,FALSE),0)</f>
        <v>hclhcl0@gmail.com</v>
      </c>
    </row>
    <row r="60" spans="1:17" s="18" customFormat="1" ht="21" customHeight="1" x14ac:dyDescent="0.25">
      <c r="A60" s="19" t="s">
        <v>100</v>
      </c>
      <c r="B60" s="20">
        <v>58</v>
      </c>
      <c r="C60" s="26" t="s">
        <v>101</v>
      </c>
      <c r="D60" s="27">
        <v>8837401271</v>
      </c>
      <c r="E60" s="23">
        <v>0</v>
      </c>
      <c r="F60" s="23">
        <v>700000</v>
      </c>
      <c r="G60" s="23">
        <v>0</v>
      </c>
      <c r="H60" s="23">
        <v>0</v>
      </c>
      <c r="I60" s="23">
        <v>4928040</v>
      </c>
      <c r="J60" s="23">
        <v>5475600</v>
      </c>
      <c r="K60" s="24">
        <f t="shared" si="0"/>
        <v>11103640</v>
      </c>
      <c r="L60" s="23">
        <v>574938</v>
      </c>
      <c r="M60" s="24">
        <v>15500000</v>
      </c>
      <c r="N60" s="24">
        <f t="shared" si="1"/>
        <v>-4971298</v>
      </c>
      <c r="O60" s="80">
        <f t="shared" si="2"/>
        <v>0</v>
      </c>
      <c r="P60" s="18" t="s">
        <v>519</v>
      </c>
      <c r="Q60" s="18" t="str">
        <f>IFERROR(VLOOKUP(D60,'[1]TT CÁ NHÂN'!$E$3:$F$407,2,FALSE),0)</f>
        <v>hnhattan.95@gmail.com</v>
      </c>
    </row>
    <row r="61" spans="1:17" s="18" customFormat="1" ht="21" customHeight="1" x14ac:dyDescent="0.25">
      <c r="A61" s="19" t="s">
        <v>102</v>
      </c>
      <c r="B61" s="20">
        <v>59</v>
      </c>
      <c r="C61" s="25" t="s">
        <v>103</v>
      </c>
      <c r="D61" s="22">
        <v>5620062714</v>
      </c>
      <c r="E61" s="23">
        <v>0</v>
      </c>
      <c r="F61" s="23">
        <v>700000</v>
      </c>
      <c r="G61" s="23">
        <v>0</v>
      </c>
      <c r="H61" s="23">
        <v>0</v>
      </c>
      <c r="I61" s="23">
        <v>12310834</v>
      </c>
      <c r="J61" s="23">
        <v>14224392</v>
      </c>
      <c r="K61" s="24">
        <f t="shared" si="0"/>
        <v>27235226</v>
      </c>
      <c r="L61" s="23">
        <v>1444421</v>
      </c>
      <c r="M61" s="24">
        <v>21700000</v>
      </c>
      <c r="N61" s="24">
        <f t="shared" si="1"/>
        <v>4090805</v>
      </c>
      <c r="O61" s="80">
        <f t="shared" si="2"/>
        <v>205000</v>
      </c>
      <c r="P61" s="18" t="s">
        <v>520</v>
      </c>
      <c r="Q61" s="18" t="str">
        <f>IFERROR(VLOOKUP(D61,'[1]TT CÁ NHÂN'!$E$3:$F$407,2,FALSE),0)</f>
        <v>hpquang2021@gmail.com</v>
      </c>
    </row>
    <row r="62" spans="1:17" s="18" customFormat="1" ht="21" customHeight="1" x14ac:dyDescent="0.25">
      <c r="A62" s="19" t="s">
        <v>61</v>
      </c>
      <c r="B62" s="20">
        <v>60</v>
      </c>
      <c r="C62" s="26" t="s">
        <v>104</v>
      </c>
      <c r="D62" s="27">
        <v>5611151292</v>
      </c>
      <c r="E62" s="23">
        <v>0</v>
      </c>
      <c r="F62" s="23">
        <v>700000</v>
      </c>
      <c r="G62" s="23">
        <v>0</v>
      </c>
      <c r="H62" s="23">
        <v>0</v>
      </c>
      <c r="I62" s="23">
        <v>0</v>
      </c>
      <c r="J62" s="23">
        <v>10184616</v>
      </c>
      <c r="K62" s="24">
        <f t="shared" si="0"/>
        <v>10884616</v>
      </c>
      <c r="L62" s="23">
        <v>1069385</v>
      </c>
      <c r="M62" s="24">
        <v>27900000</v>
      </c>
      <c r="N62" s="24">
        <f t="shared" si="1"/>
        <v>-18084769</v>
      </c>
      <c r="O62" s="80">
        <f t="shared" si="2"/>
        <v>0</v>
      </c>
      <c r="P62" s="18" t="s">
        <v>521</v>
      </c>
      <c r="Q62" s="18" t="str">
        <f>IFERROR(VLOOKUP(D62,'[1]TT CÁ NHÂN'!$E$3:$F$407,2,FALSE),0)</f>
        <v>linh0101@gmail.com</v>
      </c>
    </row>
    <row r="63" spans="1:17" s="18" customFormat="1" ht="21" customHeight="1" x14ac:dyDescent="0.25">
      <c r="A63" s="19" t="s">
        <v>34</v>
      </c>
      <c r="B63" s="20">
        <v>61</v>
      </c>
      <c r="C63" s="30" t="s">
        <v>105</v>
      </c>
      <c r="D63" s="22">
        <v>8813369427</v>
      </c>
      <c r="E63" s="23">
        <v>0</v>
      </c>
      <c r="F63" s="23">
        <v>700000</v>
      </c>
      <c r="G63" s="23">
        <v>0</v>
      </c>
      <c r="H63" s="23">
        <v>0</v>
      </c>
      <c r="I63" s="23">
        <v>0</v>
      </c>
      <c r="J63" s="23">
        <v>6247800</v>
      </c>
      <c r="K63" s="24">
        <f t="shared" si="0"/>
        <v>6947800</v>
      </c>
      <c r="L63" s="23">
        <v>656019</v>
      </c>
      <c r="M63" s="24">
        <v>15500000</v>
      </c>
      <c r="N63" s="24">
        <f t="shared" si="1"/>
        <v>-9208219</v>
      </c>
      <c r="O63" s="80">
        <f t="shared" si="2"/>
        <v>0</v>
      </c>
      <c r="P63" s="18" t="s">
        <v>847</v>
      </c>
      <c r="Q63" s="18" t="str">
        <f>IFERROR(VLOOKUP(D63,'[1]TT CÁ NHÂN'!$E$3:$F$407,2,FALSE),0)</f>
        <v>hothanhnhat111@gmail.com</v>
      </c>
    </row>
    <row r="64" spans="1:17" s="18" customFormat="1" ht="21" customHeight="1" x14ac:dyDescent="0.25">
      <c r="A64" s="19" t="s">
        <v>44</v>
      </c>
      <c r="B64" s="20">
        <v>62</v>
      </c>
      <c r="C64" s="26" t="s">
        <v>106</v>
      </c>
      <c r="D64" s="27">
        <v>8837397185</v>
      </c>
      <c r="E64" s="23">
        <v>0</v>
      </c>
      <c r="F64" s="23">
        <v>700000</v>
      </c>
      <c r="G64" s="23">
        <v>0</v>
      </c>
      <c r="H64" s="23">
        <v>0</v>
      </c>
      <c r="I64" s="23">
        <v>6318000</v>
      </c>
      <c r="J64" s="23">
        <v>7020000</v>
      </c>
      <c r="K64" s="24">
        <f t="shared" si="0"/>
        <v>14038000</v>
      </c>
      <c r="L64" s="23">
        <v>737100</v>
      </c>
      <c r="M64" s="24">
        <v>21700000</v>
      </c>
      <c r="N64" s="24">
        <f t="shared" si="1"/>
        <v>-8399100</v>
      </c>
      <c r="O64" s="80">
        <f t="shared" si="2"/>
        <v>0</v>
      </c>
      <c r="P64" s="18" t="s">
        <v>522</v>
      </c>
      <c r="Q64" s="18" t="str">
        <f>IFERROR(VLOOKUP(D64,'[1]TT CÁ NHÂN'!$E$3:$F$407,2,FALSE),0)</f>
        <v>hothanhtung09sh@gmail.com</v>
      </c>
    </row>
    <row r="65" spans="1:17" s="18" customFormat="1" ht="21" customHeight="1" x14ac:dyDescent="0.25">
      <c r="A65" s="19" t="s">
        <v>102</v>
      </c>
      <c r="B65" s="20">
        <v>63</v>
      </c>
      <c r="C65" s="26" t="s">
        <v>107</v>
      </c>
      <c r="D65" s="27">
        <v>5611150952</v>
      </c>
      <c r="E65" s="23">
        <v>0</v>
      </c>
      <c r="F65" s="23">
        <v>700000</v>
      </c>
      <c r="G65" s="23">
        <v>0</v>
      </c>
      <c r="H65" s="23">
        <v>0</v>
      </c>
      <c r="I65" s="23">
        <v>5623020</v>
      </c>
      <c r="J65" s="23">
        <v>6247800</v>
      </c>
      <c r="K65" s="24">
        <f t="shared" si="0"/>
        <v>12570820</v>
      </c>
      <c r="L65" s="23">
        <v>656019</v>
      </c>
      <c r="M65" s="24">
        <v>27900000</v>
      </c>
      <c r="N65" s="24">
        <f t="shared" si="1"/>
        <v>-15985199</v>
      </c>
      <c r="O65" s="80">
        <f t="shared" si="2"/>
        <v>0</v>
      </c>
      <c r="P65" s="18" t="s">
        <v>523</v>
      </c>
      <c r="Q65" s="18" t="str">
        <f>IFERROR(VLOOKUP(D65,'[1]TT CÁ NHÂN'!$E$3:$F$407,2,FALSE),0)</f>
        <v>tramlqd@gmail.com</v>
      </c>
    </row>
    <row r="66" spans="1:17" s="18" customFormat="1" ht="21" customHeight="1" x14ac:dyDescent="0.25">
      <c r="A66" s="19" t="s">
        <v>102</v>
      </c>
      <c r="B66" s="20">
        <v>64</v>
      </c>
      <c r="C66" s="26" t="s">
        <v>108</v>
      </c>
      <c r="D66" s="27">
        <v>5610615500</v>
      </c>
      <c r="E66" s="23">
        <v>480000</v>
      </c>
      <c r="F66" s="23">
        <v>700000</v>
      </c>
      <c r="G66" s="23">
        <v>0</v>
      </c>
      <c r="H66" s="23">
        <v>0</v>
      </c>
      <c r="I66" s="23">
        <v>7707960</v>
      </c>
      <c r="J66" s="23">
        <v>8564400</v>
      </c>
      <c r="K66" s="24">
        <f t="shared" si="0"/>
        <v>17452360</v>
      </c>
      <c r="L66" s="23">
        <v>899262</v>
      </c>
      <c r="M66" s="24">
        <v>15500000</v>
      </c>
      <c r="N66" s="24">
        <f t="shared" si="1"/>
        <v>1053098</v>
      </c>
      <c r="O66" s="80">
        <f t="shared" si="2"/>
        <v>53000</v>
      </c>
      <c r="P66" s="18" t="s">
        <v>524</v>
      </c>
      <c r="Q66" s="18" t="str">
        <f>IFERROR(VLOOKUP(D66,'[1]TT CÁ NHÂN'!$E$3:$F$407,2,FALSE),0)</f>
        <v>anhkimho@gmail.com</v>
      </c>
    </row>
    <row r="67" spans="1:17" s="18" customFormat="1" ht="21" customHeight="1" x14ac:dyDescent="0.25">
      <c r="A67" s="19" t="s">
        <v>94</v>
      </c>
      <c r="B67" s="20">
        <v>65</v>
      </c>
      <c r="C67" s="26" t="s">
        <v>109</v>
      </c>
      <c r="D67" s="27">
        <v>5611150183</v>
      </c>
      <c r="E67" s="23">
        <v>0</v>
      </c>
      <c r="F67" s="23">
        <v>700000</v>
      </c>
      <c r="G67" s="23">
        <v>0</v>
      </c>
      <c r="H67" s="23">
        <v>0</v>
      </c>
      <c r="I67" s="23">
        <v>7686900</v>
      </c>
      <c r="J67" s="23">
        <v>8541000</v>
      </c>
      <c r="K67" s="24">
        <f t="shared" ref="K67:K130" si="3">SUM(E67:J67)</f>
        <v>16927900</v>
      </c>
      <c r="L67" s="23">
        <v>896805</v>
      </c>
      <c r="M67" s="24">
        <v>21700000</v>
      </c>
      <c r="N67" s="24">
        <f t="shared" si="1"/>
        <v>-5668905</v>
      </c>
      <c r="O67" s="80">
        <f t="shared" si="2"/>
        <v>0</v>
      </c>
      <c r="P67" s="18" t="s">
        <v>525</v>
      </c>
      <c r="Q67" s="18" t="str">
        <f>IFERROR(VLOOKUP(D67,'[1]TT CÁ NHÂN'!$E$3:$F$407,2,FALSE),0)</f>
        <v>hothinga171091@gmail.com</v>
      </c>
    </row>
    <row r="68" spans="1:17" s="18" customFormat="1" ht="21" customHeight="1" x14ac:dyDescent="0.25">
      <c r="A68" s="19" t="s">
        <v>94</v>
      </c>
      <c r="B68" s="20">
        <v>66</v>
      </c>
      <c r="C68" s="26" t="s">
        <v>110</v>
      </c>
      <c r="D68" s="27">
        <v>5611627094</v>
      </c>
      <c r="E68" s="23">
        <v>0</v>
      </c>
      <c r="F68" s="23">
        <v>700000</v>
      </c>
      <c r="G68" s="23">
        <v>0</v>
      </c>
      <c r="H68" s="23">
        <v>0</v>
      </c>
      <c r="I68" s="23">
        <v>0</v>
      </c>
      <c r="J68" s="23">
        <v>7020000</v>
      </c>
      <c r="K68" s="24">
        <f t="shared" si="3"/>
        <v>7720000</v>
      </c>
      <c r="L68" s="23">
        <v>737100</v>
      </c>
      <c r="M68" s="24">
        <v>21700000</v>
      </c>
      <c r="N68" s="24">
        <f t="shared" ref="N68:N131" si="4">K68-L68-M68</f>
        <v>-14717100</v>
      </c>
      <c r="O68" s="80">
        <f t="shared" ref="O68:O131" si="5">ROUND(IF(N68&gt;100000000,N68*35%-14500000,IF(N68&gt;60000000,N68*30%-9500000,IF(N68&gt;30000000,N68*20%-3500000,IF(N68&gt;10000000,N68*10%-500000,IF(N68&gt;0,N68*5%,0))))),-3)</f>
        <v>0</v>
      </c>
      <c r="P68" s="18" t="s">
        <v>526</v>
      </c>
      <c r="Q68" s="18" t="str">
        <f>IFERROR(VLOOKUP(D68,'[1]TT CÁ NHÂN'!$E$3:$F$407,2,FALSE),0)</f>
        <v>thi.ho6@uq.net.au</v>
      </c>
    </row>
    <row r="69" spans="1:17" s="18" customFormat="1" ht="21" customHeight="1" x14ac:dyDescent="0.25">
      <c r="A69" s="19" t="s">
        <v>44</v>
      </c>
      <c r="B69" s="20">
        <v>67</v>
      </c>
      <c r="C69" s="30" t="s">
        <v>111</v>
      </c>
      <c r="D69" s="22">
        <v>8843369420</v>
      </c>
      <c r="E69" s="23">
        <v>0</v>
      </c>
      <c r="F69" s="23">
        <v>700000</v>
      </c>
      <c r="G69" s="23">
        <v>0</v>
      </c>
      <c r="H69" s="23">
        <v>0</v>
      </c>
      <c r="I69" s="23">
        <v>7012980</v>
      </c>
      <c r="J69" s="23">
        <v>7792200</v>
      </c>
      <c r="K69" s="24">
        <f t="shared" si="3"/>
        <v>15505180</v>
      </c>
      <c r="L69" s="23">
        <v>818181</v>
      </c>
      <c r="M69" s="24">
        <v>21700000</v>
      </c>
      <c r="N69" s="24">
        <f t="shared" si="4"/>
        <v>-7013001</v>
      </c>
      <c r="O69" s="80">
        <f t="shared" si="5"/>
        <v>0</v>
      </c>
      <c r="P69" s="18" t="s">
        <v>527</v>
      </c>
      <c r="Q69" s="18" t="str">
        <f>IFERROR(VLOOKUP(D69,'[1]TT CÁ NHÂN'!$E$3:$F$407,2,FALSE),0)</f>
        <v>hothisuongytcc@gmail.com</v>
      </c>
    </row>
    <row r="70" spans="1:17" s="18" customFormat="1" ht="21" customHeight="1" x14ac:dyDescent="0.25">
      <c r="A70" s="19" t="s">
        <v>112</v>
      </c>
      <c r="B70" s="20">
        <v>68</v>
      </c>
      <c r="C70" s="26" t="s">
        <v>113</v>
      </c>
      <c r="D70" s="27">
        <v>5610277496</v>
      </c>
      <c r="E70" s="23">
        <v>0</v>
      </c>
      <c r="F70" s="23">
        <v>700000</v>
      </c>
      <c r="G70" s="23">
        <v>0</v>
      </c>
      <c r="H70" s="23">
        <v>0</v>
      </c>
      <c r="I70" s="23">
        <v>13256100</v>
      </c>
      <c r="J70" s="23">
        <v>12051000</v>
      </c>
      <c r="K70" s="24">
        <f t="shared" si="3"/>
        <v>26007100</v>
      </c>
      <c r="L70" s="23">
        <v>1265355</v>
      </c>
      <c r="M70" s="24">
        <v>15500000</v>
      </c>
      <c r="N70" s="24">
        <f t="shared" si="4"/>
        <v>9241745</v>
      </c>
      <c r="O70" s="80">
        <f t="shared" si="5"/>
        <v>462000</v>
      </c>
      <c r="P70" s="18" t="s">
        <v>846</v>
      </c>
      <c r="Q70" s="18" t="str">
        <f>IFERROR(VLOOKUP(D70,'[1]TT CÁ NHÂN'!$E$3:$F$407,2,FALSE),0)</f>
        <v>hotam78@gmail.com</v>
      </c>
    </row>
    <row r="71" spans="1:17" s="18" customFormat="1" ht="21" customHeight="1" x14ac:dyDescent="0.25">
      <c r="A71" s="19" t="s">
        <v>102</v>
      </c>
      <c r="B71" s="20">
        <v>69</v>
      </c>
      <c r="C71" s="25" t="s">
        <v>114</v>
      </c>
      <c r="D71" s="22">
        <v>8803369406</v>
      </c>
      <c r="E71" s="23">
        <v>0</v>
      </c>
      <c r="F71" s="23">
        <v>700000</v>
      </c>
      <c r="G71" s="23">
        <v>0</v>
      </c>
      <c r="H71" s="23">
        <v>0</v>
      </c>
      <c r="I71" s="23">
        <v>9097920</v>
      </c>
      <c r="J71" s="23">
        <v>10881000</v>
      </c>
      <c r="K71" s="24">
        <f t="shared" si="3"/>
        <v>20678920</v>
      </c>
      <c r="L71" s="23">
        <v>1142505</v>
      </c>
      <c r="M71" s="24">
        <v>34100000</v>
      </c>
      <c r="N71" s="24">
        <f t="shared" si="4"/>
        <v>-14563585</v>
      </c>
      <c r="O71" s="80">
        <f t="shared" si="5"/>
        <v>0</v>
      </c>
      <c r="P71" s="18" t="s">
        <v>528</v>
      </c>
      <c r="Q71" s="18" t="str">
        <f>IFERROR(VLOOKUP(D71,'[1]TT CÁ NHÂN'!$E$3:$F$407,2,FALSE),0)</f>
        <v>thanhgiangt4g@gmail.com</v>
      </c>
    </row>
    <row r="72" spans="1:17" s="18" customFormat="1" ht="21" customHeight="1" x14ac:dyDescent="0.25">
      <c r="A72" s="19" t="s">
        <v>102</v>
      </c>
      <c r="B72" s="20">
        <v>70</v>
      </c>
      <c r="C72" s="30" t="s">
        <v>115</v>
      </c>
      <c r="D72" s="22">
        <v>8833375728</v>
      </c>
      <c r="E72" s="23">
        <v>668000</v>
      </c>
      <c r="F72" s="23">
        <v>700000</v>
      </c>
      <c r="G72" s="23">
        <v>0</v>
      </c>
      <c r="H72" s="23">
        <v>0</v>
      </c>
      <c r="I72" s="23">
        <v>0</v>
      </c>
      <c r="J72" s="23">
        <v>5475600</v>
      </c>
      <c r="K72" s="24">
        <f t="shared" si="3"/>
        <v>6843600</v>
      </c>
      <c r="L72" s="23">
        <v>574938</v>
      </c>
      <c r="M72" s="24">
        <v>15500000</v>
      </c>
      <c r="N72" s="24">
        <f t="shared" si="4"/>
        <v>-9231338</v>
      </c>
      <c r="O72" s="80">
        <f t="shared" si="5"/>
        <v>0</v>
      </c>
      <c r="P72" s="18" t="s">
        <v>529</v>
      </c>
      <c r="Q72" s="18" t="str">
        <f>IFERROR(VLOOKUP(D72,'[1]TT CÁ NHÂN'!$E$3:$F$407,2,FALSE),0)</f>
        <v>hothithuhuyen710252@gmail.com</v>
      </c>
    </row>
    <row r="73" spans="1:17" s="18" customFormat="1" ht="21" customHeight="1" x14ac:dyDescent="0.25">
      <c r="A73" s="19" t="s">
        <v>102</v>
      </c>
      <c r="B73" s="20">
        <v>71</v>
      </c>
      <c r="C73" s="41" t="s">
        <v>116</v>
      </c>
      <c r="D73" s="22">
        <v>8853369396</v>
      </c>
      <c r="E73" s="23">
        <v>0</v>
      </c>
      <c r="F73" s="23">
        <v>700000</v>
      </c>
      <c r="G73" s="23">
        <v>0</v>
      </c>
      <c r="H73" s="23">
        <v>0</v>
      </c>
      <c r="I73" s="23">
        <v>9792900</v>
      </c>
      <c r="J73" s="23">
        <v>10881000</v>
      </c>
      <c r="K73" s="24">
        <f t="shared" si="3"/>
        <v>21373900</v>
      </c>
      <c r="L73" s="23">
        <v>1142505</v>
      </c>
      <c r="M73" s="24">
        <v>27900000</v>
      </c>
      <c r="N73" s="24">
        <f t="shared" si="4"/>
        <v>-7668605</v>
      </c>
      <c r="O73" s="80">
        <f t="shared" si="5"/>
        <v>0</v>
      </c>
      <c r="P73" s="18" t="s">
        <v>530</v>
      </c>
      <c r="Q73" s="18" t="str">
        <f>IFERROR(VLOOKUP(D73,'[1]TT CÁ NHÂN'!$E$3:$F$407,2,FALSE),0)</f>
        <v>thuphuongtv10@gmail.com</v>
      </c>
    </row>
    <row r="74" spans="1:17" s="18" customFormat="1" ht="21" customHeight="1" x14ac:dyDescent="0.25">
      <c r="A74" s="19" t="s">
        <v>94</v>
      </c>
      <c r="B74" s="20">
        <v>72</v>
      </c>
      <c r="C74" s="26" t="s">
        <v>117</v>
      </c>
      <c r="D74" s="27">
        <v>5611150156</v>
      </c>
      <c r="E74" s="23">
        <v>0</v>
      </c>
      <c r="F74" s="23">
        <v>700000</v>
      </c>
      <c r="G74" s="23">
        <v>0</v>
      </c>
      <c r="H74" s="23">
        <v>0</v>
      </c>
      <c r="I74" s="23">
        <v>7686900</v>
      </c>
      <c r="J74" s="23">
        <v>8541000</v>
      </c>
      <c r="K74" s="24">
        <f t="shared" si="3"/>
        <v>16927900</v>
      </c>
      <c r="L74" s="23">
        <v>896805</v>
      </c>
      <c r="M74" s="24">
        <v>21700000</v>
      </c>
      <c r="N74" s="24">
        <f t="shared" si="4"/>
        <v>-5668905</v>
      </c>
      <c r="O74" s="80">
        <f t="shared" si="5"/>
        <v>0</v>
      </c>
      <c r="P74" s="18" t="s">
        <v>531</v>
      </c>
      <c r="Q74" s="18" t="str">
        <f>IFERROR(VLOOKUP(D74,'[1]TT CÁ NHÂN'!$E$3:$F$407,2,FALSE),0)</f>
        <v>hothuytrang1807@gmail.com</v>
      </c>
    </row>
    <row r="75" spans="1:17" s="18" customFormat="1" ht="21" customHeight="1" x14ac:dyDescent="0.25">
      <c r="A75" s="19" t="s">
        <v>61</v>
      </c>
      <c r="B75" s="20">
        <v>73</v>
      </c>
      <c r="C75" s="26" t="s">
        <v>118</v>
      </c>
      <c r="D75" s="27">
        <v>5611150299</v>
      </c>
      <c r="E75" s="23">
        <v>100000</v>
      </c>
      <c r="F75" s="23">
        <v>700000</v>
      </c>
      <c r="G75" s="23">
        <v>0</v>
      </c>
      <c r="H75" s="23">
        <v>0</v>
      </c>
      <c r="I75" s="23">
        <v>0</v>
      </c>
      <c r="J75" s="23">
        <v>4352400</v>
      </c>
      <c r="K75" s="24">
        <f t="shared" si="3"/>
        <v>5152400</v>
      </c>
      <c r="L75" s="23">
        <v>457002</v>
      </c>
      <c r="M75" s="24">
        <v>21700000</v>
      </c>
      <c r="N75" s="24">
        <f t="shared" si="4"/>
        <v>-17004602</v>
      </c>
      <c r="O75" s="80">
        <f t="shared" si="5"/>
        <v>0</v>
      </c>
      <c r="P75" s="18" t="s">
        <v>845</v>
      </c>
      <c r="Q75" s="18" t="str">
        <f>IFERROR(VLOOKUP(D75,'[1]TT CÁ NHÂN'!$E$3:$F$407,2,FALSE),0)</f>
        <v>hovanthong104@gmail.com</v>
      </c>
    </row>
    <row r="76" spans="1:17" s="18" customFormat="1" ht="21" customHeight="1" x14ac:dyDescent="0.25">
      <c r="A76" s="19" t="s">
        <v>27</v>
      </c>
      <c r="B76" s="20">
        <v>74</v>
      </c>
      <c r="C76" s="26" t="s">
        <v>119</v>
      </c>
      <c r="D76" s="27" t="s">
        <v>120</v>
      </c>
      <c r="E76" s="23">
        <v>0</v>
      </c>
      <c r="F76" s="23">
        <v>700000</v>
      </c>
      <c r="G76" s="23">
        <v>0</v>
      </c>
      <c r="H76" s="23">
        <v>0</v>
      </c>
      <c r="I76" s="23">
        <v>5623020</v>
      </c>
      <c r="J76" s="23">
        <v>6247800</v>
      </c>
      <c r="K76" s="24">
        <f t="shared" si="3"/>
        <v>12570820</v>
      </c>
      <c r="L76" s="23">
        <v>656019</v>
      </c>
      <c r="M76" s="24">
        <v>15500000</v>
      </c>
      <c r="N76" s="24">
        <f t="shared" si="4"/>
        <v>-3585199</v>
      </c>
      <c r="O76" s="80">
        <f t="shared" si="5"/>
        <v>0</v>
      </c>
      <c r="P76" s="18" t="s">
        <v>532</v>
      </c>
      <c r="Q76" s="18" t="str">
        <f>IFERROR(VLOOKUP(D76,'[1]TT CÁ NHÂN'!$E$3:$F$407,2,FALSE),0)</f>
        <v>thuhoang026@gmail.com</v>
      </c>
    </row>
    <row r="77" spans="1:17" s="18" customFormat="1" ht="21" customHeight="1" x14ac:dyDescent="0.25">
      <c r="A77" s="19" t="s">
        <v>50</v>
      </c>
      <c r="B77" s="20">
        <v>75</v>
      </c>
      <c r="C77" s="42" t="s">
        <v>121</v>
      </c>
      <c r="D77" s="43">
        <v>8854975438</v>
      </c>
      <c r="E77" s="23">
        <v>0</v>
      </c>
      <c r="F77" s="23">
        <v>700000</v>
      </c>
      <c r="G77" s="23">
        <v>0</v>
      </c>
      <c r="H77" s="23">
        <v>0</v>
      </c>
      <c r="I77" s="23">
        <v>3285360</v>
      </c>
      <c r="J77" s="23">
        <v>5475600</v>
      </c>
      <c r="K77" s="24">
        <f t="shared" si="3"/>
        <v>9460960</v>
      </c>
      <c r="L77" s="23">
        <v>574938</v>
      </c>
      <c r="M77" s="24">
        <v>15500000</v>
      </c>
      <c r="N77" s="24">
        <f t="shared" si="4"/>
        <v>-6613978</v>
      </c>
      <c r="O77" s="80">
        <f t="shared" si="5"/>
        <v>0</v>
      </c>
      <c r="P77" s="18" t="s">
        <v>844</v>
      </c>
      <c r="Q77" s="18" t="str">
        <f>IFERROR(VLOOKUP(D77,'[1]TT CÁ NHÂN'!$E$3:$F$407,2,FALSE),0)</f>
        <v>drngoccam@gmail.com</v>
      </c>
    </row>
    <row r="78" spans="1:17" s="18" customFormat="1" ht="21" customHeight="1" x14ac:dyDescent="0.25">
      <c r="A78" s="19" t="s">
        <v>50</v>
      </c>
      <c r="B78" s="20">
        <v>76</v>
      </c>
      <c r="C78" s="26" t="s">
        <v>122</v>
      </c>
      <c r="D78" s="27">
        <v>5611150192</v>
      </c>
      <c r="E78" s="23">
        <v>0</v>
      </c>
      <c r="F78" s="23">
        <v>700000</v>
      </c>
      <c r="G78" s="23">
        <v>0</v>
      </c>
      <c r="H78" s="23">
        <v>0</v>
      </c>
      <c r="I78" s="23">
        <v>8402940</v>
      </c>
      <c r="J78" s="23">
        <v>9336600</v>
      </c>
      <c r="K78" s="24">
        <f t="shared" si="3"/>
        <v>18439540</v>
      </c>
      <c r="L78" s="23">
        <v>980343</v>
      </c>
      <c r="M78" s="24">
        <v>15500000</v>
      </c>
      <c r="N78" s="24">
        <f t="shared" si="4"/>
        <v>1959197</v>
      </c>
      <c r="O78" s="80">
        <f t="shared" si="5"/>
        <v>98000</v>
      </c>
      <c r="P78" s="18" t="s">
        <v>533</v>
      </c>
      <c r="Q78" s="18" t="str">
        <f>IFERROR(VLOOKUP(D78,'[1]TT CÁ NHÂN'!$E$3:$F$407,2,FALSE),0)</f>
        <v>hoangnguyenautran@gmail.com</v>
      </c>
    </row>
    <row r="79" spans="1:17" s="18" customFormat="1" ht="21" customHeight="1" x14ac:dyDescent="0.25">
      <c r="A79" s="19" t="s">
        <v>50</v>
      </c>
      <c r="B79" s="20">
        <v>77</v>
      </c>
      <c r="C79" s="26" t="s">
        <v>123</v>
      </c>
      <c r="D79" s="27">
        <v>5611150129</v>
      </c>
      <c r="E79" s="23">
        <v>0</v>
      </c>
      <c r="F79" s="23">
        <v>700000</v>
      </c>
      <c r="G79" s="23">
        <v>0</v>
      </c>
      <c r="H79" s="23">
        <v>0</v>
      </c>
      <c r="I79" s="23">
        <v>0</v>
      </c>
      <c r="J79" s="23">
        <v>7651800</v>
      </c>
      <c r="K79" s="24">
        <f t="shared" si="3"/>
        <v>8351800</v>
      </c>
      <c r="L79" s="23">
        <v>803439</v>
      </c>
      <c r="M79" s="24">
        <v>27900000</v>
      </c>
      <c r="N79" s="24">
        <f t="shared" si="4"/>
        <v>-20351639</v>
      </c>
      <c r="O79" s="80">
        <f t="shared" si="5"/>
        <v>0</v>
      </c>
      <c r="P79" s="18">
        <v>0</v>
      </c>
      <c r="Q79" s="18">
        <f>IFERROR(VLOOKUP(D79,'[1]TT CÁ NHÂN'!$E$3:$F$407,2,FALSE),0)</f>
        <v>0</v>
      </c>
    </row>
    <row r="80" spans="1:17" s="18" customFormat="1" ht="21" customHeight="1" x14ac:dyDescent="0.25">
      <c r="A80" s="19" t="s">
        <v>31</v>
      </c>
      <c r="B80" s="20">
        <v>78</v>
      </c>
      <c r="C80" s="26" t="s">
        <v>124</v>
      </c>
      <c r="D80" s="27">
        <v>5611148337</v>
      </c>
      <c r="E80" s="23">
        <v>0</v>
      </c>
      <c r="F80" s="23">
        <v>700000</v>
      </c>
      <c r="G80" s="23">
        <v>0</v>
      </c>
      <c r="H80" s="23">
        <v>0</v>
      </c>
      <c r="I80" s="23">
        <v>6381180</v>
      </c>
      <c r="J80" s="23">
        <v>7090200</v>
      </c>
      <c r="K80" s="24">
        <f t="shared" si="3"/>
        <v>14171380</v>
      </c>
      <c r="L80" s="23">
        <v>744471</v>
      </c>
      <c r="M80" s="24">
        <v>34100000</v>
      </c>
      <c r="N80" s="24">
        <f t="shared" si="4"/>
        <v>-20673091</v>
      </c>
      <c r="O80" s="80">
        <f t="shared" si="5"/>
        <v>0</v>
      </c>
      <c r="P80" s="18" t="s">
        <v>534</v>
      </c>
      <c r="Q80" s="18" t="str">
        <f>IFERROR(VLOOKUP(D80,'[1]TT CÁ NHÂN'!$E$3:$F$407,2,FALSE),0)</f>
        <v>kimloi10291@gmail.com</v>
      </c>
    </row>
    <row r="81" spans="1:17" s="18" customFormat="1" ht="21" customHeight="1" x14ac:dyDescent="0.25">
      <c r="A81" s="19" t="s">
        <v>112</v>
      </c>
      <c r="B81" s="20">
        <v>79</v>
      </c>
      <c r="C81" s="26" t="s">
        <v>125</v>
      </c>
      <c r="D81" s="27">
        <v>5610680571</v>
      </c>
      <c r="E81" s="23">
        <v>0</v>
      </c>
      <c r="F81" s="23">
        <v>700000</v>
      </c>
      <c r="G81" s="23">
        <v>0</v>
      </c>
      <c r="H81" s="23">
        <v>0</v>
      </c>
      <c r="I81" s="23">
        <v>9792900</v>
      </c>
      <c r="J81" s="23">
        <v>10881000</v>
      </c>
      <c r="K81" s="24">
        <f t="shared" si="3"/>
        <v>21373900</v>
      </c>
      <c r="L81" s="23">
        <v>1142505</v>
      </c>
      <c r="M81" s="24">
        <v>27900000</v>
      </c>
      <c r="N81" s="24">
        <f t="shared" si="4"/>
        <v>-7668605</v>
      </c>
      <c r="O81" s="80">
        <f t="shared" si="5"/>
        <v>0</v>
      </c>
      <c r="P81" s="18" t="s">
        <v>535</v>
      </c>
      <c r="Q81" s="18" t="str">
        <f>IFERROR(VLOOKUP(D81,'[1]TT CÁ NHÂN'!$E$3:$F$407,2,FALSE),0)</f>
        <v>hoangminhhien4@gmail.com</v>
      </c>
    </row>
    <row r="82" spans="1:17" s="18" customFormat="1" ht="21" customHeight="1" x14ac:dyDescent="0.25">
      <c r="A82" s="19" t="s">
        <v>34</v>
      </c>
      <c r="B82" s="20">
        <v>80</v>
      </c>
      <c r="C82" s="40" t="s">
        <v>126</v>
      </c>
      <c r="D82" s="22">
        <v>5623448793</v>
      </c>
      <c r="E82" s="23">
        <v>0</v>
      </c>
      <c r="F82" s="23">
        <v>700000</v>
      </c>
      <c r="G82" s="23">
        <v>0</v>
      </c>
      <c r="H82" s="23">
        <v>0</v>
      </c>
      <c r="I82" s="23">
        <v>8402940</v>
      </c>
      <c r="J82" s="23">
        <v>9336600</v>
      </c>
      <c r="K82" s="24">
        <f t="shared" si="3"/>
        <v>18439540</v>
      </c>
      <c r="L82" s="23">
        <v>980343</v>
      </c>
      <c r="M82" s="24">
        <v>27900000</v>
      </c>
      <c r="N82" s="24">
        <f t="shared" si="4"/>
        <v>-10440803</v>
      </c>
      <c r="O82" s="80">
        <f t="shared" si="5"/>
        <v>0</v>
      </c>
      <c r="P82" s="18" t="s">
        <v>536</v>
      </c>
      <c r="Q82" s="18" t="str">
        <f>IFERROR(VLOOKUP(D82,'[1]TT CÁ NHÂN'!$E$3:$F$407,2,FALSE),0)</f>
        <v>hoangnham83@gmail.com</v>
      </c>
    </row>
    <row r="83" spans="1:17" s="18" customFormat="1" ht="21" customHeight="1" x14ac:dyDescent="0.25">
      <c r="A83" s="19" t="s">
        <v>40</v>
      </c>
      <c r="B83" s="20">
        <v>81</v>
      </c>
      <c r="C83" s="26" t="s">
        <v>127</v>
      </c>
      <c r="D83" s="27">
        <v>5610602830</v>
      </c>
      <c r="E83" s="23">
        <v>0</v>
      </c>
      <c r="F83" s="23">
        <v>700000</v>
      </c>
      <c r="G83" s="23">
        <v>0</v>
      </c>
      <c r="H83" s="23">
        <v>0</v>
      </c>
      <c r="I83" s="23">
        <v>7707960</v>
      </c>
      <c r="J83" s="23">
        <v>8564400</v>
      </c>
      <c r="K83" s="24">
        <f t="shared" si="3"/>
        <v>16972360</v>
      </c>
      <c r="L83" s="23">
        <v>899262</v>
      </c>
      <c r="M83" s="24">
        <v>34100000</v>
      </c>
      <c r="N83" s="24">
        <f t="shared" si="4"/>
        <v>-18026902</v>
      </c>
      <c r="O83" s="80">
        <f t="shared" si="5"/>
        <v>0</v>
      </c>
      <c r="P83" s="18" t="s">
        <v>537</v>
      </c>
      <c r="Q83" s="18" t="str">
        <f>IFERROR(VLOOKUP(D83,'[1]TT CÁ NHÂN'!$E$3:$F$407,2,FALSE),0)</f>
        <v>nguyentoenv@gmail.com</v>
      </c>
    </row>
    <row r="84" spans="1:17" s="18" customFormat="1" ht="21" customHeight="1" x14ac:dyDescent="0.25">
      <c r="A84" s="19" t="s">
        <v>61</v>
      </c>
      <c r="B84" s="20">
        <v>82</v>
      </c>
      <c r="C84" s="26" t="s">
        <v>128</v>
      </c>
      <c r="D84" s="27">
        <v>8847401631</v>
      </c>
      <c r="E84" s="23">
        <v>0</v>
      </c>
      <c r="F84" s="23">
        <v>700000</v>
      </c>
      <c r="G84" s="23">
        <v>0</v>
      </c>
      <c r="H84" s="23">
        <v>0</v>
      </c>
      <c r="I84" s="23">
        <v>8402940</v>
      </c>
      <c r="J84" s="23">
        <v>9336600</v>
      </c>
      <c r="K84" s="24">
        <f t="shared" si="3"/>
        <v>18439540</v>
      </c>
      <c r="L84" s="23">
        <v>980343</v>
      </c>
      <c r="M84" s="24">
        <v>21700000</v>
      </c>
      <c r="N84" s="24">
        <f t="shared" si="4"/>
        <v>-4240803</v>
      </c>
      <c r="O84" s="80">
        <f t="shared" si="5"/>
        <v>0</v>
      </c>
      <c r="P84" s="18" t="s">
        <v>538</v>
      </c>
      <c r="Q84" s="18" t="str">
        <f>IFERROR(VLOOKUP(D84,'[1]TT CÁ NHÂN'!$E$3:$F$407,2,FALSE),0)</f>
        <v>triht@danang.gov.vn</v>
      </c>
    </row>
    <row r="85" spans="1:17" s="18" customFormat="1" ht="21" customHeight="1" x14ac:dyDescent="0.25">
      <c r="A85" s="19" t="s">
        <v>112</v>
      </c>
      <c r="B85" s="20">
        <v>83</v>
      </c>
      <c r="C85" s="26" t="s">
        <v>129</v>
      </c>
      <c r="D85" s="27">
        <v>5610577929</v>
      </c>
      <c r="E85" s="23">
        <v>0</v>
      </c>
      <c r="F85" s="23">
        <v>700000</v>
      </c>
      <c r="G85" s="23">
        <v>0</v>
      </c>
      <c r="H85" s="23">
        <v>0</v>
      </c>
      <c r="I85" s="23">
        <v>7707960</v>
      </c>
      <c r="J85" s="23">
        <v>8564400</v>
      </c>
      <c r="K85" s="24">
        <f t="shared" si="3"/>
        <v>16972360</v>
      </c>
      <c r="L85" s="23">
        <v>899262</v>
      </c>
      <c r="M85" s="24">
        <v>21700000</v>
      </c>
      <c r="N85" s="24">
        <f t="shared" si="4"/>
        <v>-5626902</v>
      </c>
      <c r="O85" s="80">
        <f t="shared" si="5"/>
        <v>0</v>
      </c>
      <c r="P85" s="18" t="s">
        <v>539</v>
      </c>
      <c r="Q85" s="18" t="str">
        <f>IFERROR(VLOOKUP(D85,'[1]TT CÁ NHÂN'!$E$3:$F$407,2,FALSE),0)</f>
        <v>hongminhhoa88@gmail.com</v>
      </c>
    </row>
    <row r="86" spans="1:17" s="18" customFormat="1" ht="21" customHeight="1" x14ac:dyDescent="0.25">
      <c r="A86" s="19" t="s">
        <v>64</v>
      </c>
      <c r="B86" s="20">
        <v>84</v>
      </c>
      <c r="C86" s="44" t="s">
        <v>130</v>
      </c>
      <c r="D86" s="45">
        <v>5601640517</v>
      </c>
      <c r="E86" s="23">
        <v>0</v>
      </c>
      <c r="F86" s="23">
        <v>700000</v>
      </c>
      <c r="G86" s="23">
        <v>0</v>
      </c>
      <c r="H86" s="23">
        <v>0</v>
      </c>
      <c r="I86" s="23">
        <v>6086340</v>
      </c>
      <c r="J86" s="23">
        <v>7020000</v>
      </c>
      <c r="K86" s="24">
        <f t="shared" si="3"/>
        <v>13806340</v>
      </c>
      <c r="L86" s="23">
        <v>737100</v>
      </c>
      <c r="M86" s="24">
        <v>21700000</v>
      </c>
      <c r="N86" s="24">
        <f t="shared" si="4"/>
        <v>-8630760</v>
      </c>
      <c r="O86" s="80">
        <f t="shared" si="5"/>
        <v>0</v>
      </c>
      <c r="P86" s="18" t="s">
        <v>843</v>
      </c>
      <c r="Q86" s="18" t="str">
        <f>IFERROR(VLOOKUP(D86,'[1]TT CÁ NHÂN'!$E$3:$F$407,2,FALSE),0)</f>
        <v>huynhbathanh29@gmail.com</v>
      </c>
    </row>
    <row r="87" spans="1:17" s="18" customFormat="1" ht="21" customHeight="1" x14ac:dyDescent="0.25">
      <c r="A87" s="19" t="s">
        <v>50</v>
      </c>
      <c r="B87" s="20">
        <v>85</v>
      </c>
      <c r="C87" s="26" t="s">
        <v>131</v>
      </c>
      <c r="D87" s="27">
        <v>5611051994</v>
      </c>
      <c r="E87" s="23">
        <v>802000</v>
      </c>
      <c r="F87" s="23">
        <v>700000</v>
      </c>
      <c r="G87" s="23">
        <v>1440000</v>
      </c>
      <c r="H87" s="23">
        <v>700000</v>
      </c>
      <c r="I87" s="23">
        <v>7012980</v>
      </c>
      <c r="J87" s="23">
        <v>7792200</v>
      </c>
      <c r="K87" s="24">
        <f t="shared" si="3"/>
        <v>18447180</v>
      </c>
      <c r="L87" s="23">
        <v>818181</v>
      </c>
      <c r="M87" s="24">
        <v>21700000</v>
      </c>
      <c r="N87" s="24">
        <f t="shared" si="4"/>
        <v>-4071001</v>
      </c>
      <c r="O87" s="80">
        <f t="shared" si="5"/>
        <v>0</v>
      </c>
      <c r="P87" s="18" t="s">
        <v>540</v>
      </c>
      <c r="Q87" s="18" t="str">
        <f>IFERROR(VLOOKUP(D87,'[1]TT CÁ NHÂN'!$E$3:$F$407,2,FALSE),0)</f>
        <v>nghia164@gmail.com</v>
      </c>
    </row>
    <row r="88" spans="1:17" s="18" customFormat="1" ht="21" customHeight="1" x14ac:dyDescent="0.25">
      <c r="A88" s="19" t="s">
        <v>61</v>
      </c>
      <c r="B88" s="20">
        <v>86</v>
      </c>
      <c r="C88" s="30" t="s">
        <v>132</v>
      </c>
      <c r="D88" s="29">
        <v>8823373264</v>
      </c>
      <c r="E88" s="23">
        <v>0</v>
      </c>
      <c r="F88" s="23">
        <v>700000</v>
      </c>
      <c r="G88" s="23">
        <v>0</v>
      </c>
      <c r="H88" s="23">
        <v>0</v>
      </c>
      <c r="I88" s="23">
        <v>0</v>
      </c>
      <c r="J88" s="23">
        <v>4352400</v>
      </c>
      <c r="K88" s="24">
        <f t="shared" si="3"/>
        <v>5052400</v>
      </c>
      <c r="L88" s="23">
        <v>457002</v>
      </c>
      <c r="M88" s="24">
        <v>15500000</v>
      </c>
      <c r="N88" s="24">
        <f t="shared" si="4"/>
        <v>-10904602</v>
      </c>
      <c r="O88" s="80">
        <f t="shared" si="5"/>
        <v>0</v>
      </c>
      <c r="P88" s="18">
        <v>0</v>
      </c>
      <c r="Q88" s="18">
        <f>IFERROR(VLOOKUP(D88,'[1]TT CÁ NHÂN'!$E$3:$F$407,2,FALSE),0)</f>
        <v>0</v>
      </c>
    </row>
    <row r="89" spans="1:17" s="18" customFormat="1" ht="21" customHeight="1" x14ac:dyDescent="0.25">
      <c r="A89" s="19" t="s">
        <v>31</v>
      </c>
      <c r="B89" s="20">
        <v>87</v>
      </c>
      <c r="C89" s="26" t="s">
        <v>133</v>
      </c>
      <c r="D89" s="27">
        <v>5611148504</v>
      </c>
      <c r="E89" s="23">
        <v>0</v>
      </c>
      <c r="F89" s="23">
        <v>700000</v>
      </c>
      <c r="G89" s="23">
        <v>0</v>
      </c>
      <c r="H89" s="23">
        <v>0</v>
      </c>
      <c r="I89" s="23">
        <v>7707960</v>
      </c>
      <c r="J89" s="23">
        <v>8564400</v>
      </c>
      <c r="K89" s="24">
        <f t="shared" si="3"/>
        <v>16972360</v>
      </c>
      <c r="L89" s="23">
        <v>899262</v>
      </c>
      <c r="M89" s="24">
        <v>40300000</v>
      </c>
      <c r="N89" s="24">
        <f t="shared" si="4"/>
        <v>-24226902</v>
      </c>
      <c r="O89" s="80">
        <f t="shared" si="5"/>
        <v>0</v>
      </c>
      <c r="P89" s="18" t="s">
        <v>541</v>
      </c>
      <c r="Q89" s="18" t="str">
        <f>IFERROR(VLOOKUP(D89,'[1]TT CÁ NHÂN'!$E$3:$F$407,2,FALSE),0)</f>
        <v>Que89kdqt@gmail.com</v>
      </c>
    </row>
    <row r="90" spans="1:17" s="18" customFormat="1" ht="21" customHeight="1" x14ac:dyDescent="0.25">
      <c r="A90" s="19" t="s">
        <v>31</v>
      </c>
      <c r="B90" s="20">
        <v>88</v>
      </c>
      <c r="C90" s="40" t="s">
        <v>134</v>
      </c>
      <c r="D90" s="22">
        <v>8853279085</v>
      </c>
      <c r="E90" s="23">
        <v>0</v>
      </c>
      <c r="F90" s="23">
        <v>700000</v>
      </c>
      <c r="G90" s="23">
        <v>0</v>
      </c>
      <c r="H90" s="23">
        <v>0</v>
      </c>
      <c r="I90" s="23">
        <v>4928040</v>
      </c>
      <c r="J90" s="23">
        <v>5475600</v>
      </c>
      <c r="K90" s="24">
        <f t="shared" si="3"/>
        <v>11103640</v>
      </c>
      <c r="L90" s="23">
        <v>574938</v>
      </c>
      <c r="M90" s="24">
        <v>15500000</v>
      </c>
      <c r="N90" s="24">
        <f t="shared" si="4"/>
        <v>-4971298</v>
      </c>
      <c r="O90" s="80">
        <f t="shared" si="5"/>
        <v>0</v>
      </c>
      <c r="P90" s="18" t="s">
        <v>542</v>
      </c>
      <c r="Q90" s="18" t="str">
        <f>IFERROR(VLOOKUP(D90,'[1]TT CÁ NHÂN'!$E$3:$F$407,2,FALSE),0)</f>
        <v>cucong117@gmail.com</v>
      </c>
    </row>
    <row r="91" spans="1:17" s="18" customFormat="1" ht="21" customHeight="1" x14ac:dyDescent="0.25">
      <c r="A91" s="19"/>
      <c r="B91" s="20">
        <v>89</v>
      </c>
      <c r="C91" s="46" t="s">
        <v>135</v>
      </c>
      <c r="D91" s="47">
        <v>8820997692</v>
      </c>
      <c r="E91" s="23">
        <v>0</v>
      </c>
      <c r="F91" s="23">
        <v>700000</v>
      </c>
      <c r="G91" s="23">
        <v>0</v>
      </c>
      <c r="H91" s="23">
        <v>0</v>
      </c>
      <c r="I91" s="23">
        <v>0</v>
      </c>
      <c r="J91" s="23">
        <v>4730000</v>
      </c>
      <c r="K91" s="24">
        <f t="shared" si="3"/>
        <v>5430000</v>
      </c>
      <c r="L91" s="23">
        <v>496650</v>
      </c>
      <c r="M91" s="24">
        <v>15500000</v>
      </c>
      <c r="N91" s="24">
        <f t="shared" si="4"/>
        <v>-10566650</v>
      </c>
      <c r="O91" s="80">
        <f t="shared" si="5"/>
        <v>0</v>
      </c>
      <c r="P91" s="18">
        <v>0</v>
      </c>
      <c r="Q91" s="18">
        <f>IFERROR(VLOOKUP(D91,'[1]TT CÁ NHÂN'!$E$3:$F$407,2,FALSE),0)</f>
        <v>0</v>
      </c>
    </row>
    <row r="92" spans="1:17" s="18" customFormat="1" ht="21" customHeight="1" x14ac:dyDescent="0.25">
      <c r="A92" s="19" t="s">
        <v>38</v>
      </c>
      <c r="B92" s="20">
        <v>90</v>
      </c>
      <c r="C92" s="25" t="s">
        <v>136</v>
      </c>
      <c r="D92" s="22">
        <v>5623454860</v>
      </c>
      <c r="E92" s="23">
        <v>0</v>
      </c>
      <c r="F92" s="23">
        <v>700000</v>
      </c>
      <c r="G92" s="23">
        <v>0</v>
      </c>
      <c r="H92" s="23">
        <v>0</v>
      </c>
      <c r="I92" s="23">
        <v>7476300</v>
      </c>
      <c r="J92" s="23">
        <v>8564400</v>
      </c>
      <c r="K92" s="24">
        <f t="shared" si="3"/>
        <v>16740700</v>
      </c>
      <c r="L92" s="23">
        <v>899262</v>
      </c>
      <c r="M92" s="24">
        <v>21700000</v>
      </c>
      <c r="N92" s="24">
        <f t="shared" si="4"/>
        <v>-5858562</v>
      </c>
      <c r="O92" s="80">
        <f t="shared" si="5"/>
        <v>0</v>
      </c>
      <c r="P92" s="18" t="s">
        <v>543</v>
      </c>
      <c r="Q92" s="18" t="str">
        <f>IFERROR(VLOOKUP(D92,'[1]TT CÁ NHÂN'!$E$3:$F$407,2,FALSE),0)</f>
        <v>thuyngannguyen2012@gmail.com</v>
      </c>
    </row>
    <row r="93" spans="1:17" s="18" customFormat="1" ht="21" customHeight="1" x14ac:dyDescent="0.25">
      <c r="A93" s="19" t="s">
        <v>25</v>
      </c>
      <c r="B93" s="20">
        <v>91</v>
      </c>
      <c r="C93" s="26" t="s">
        <v>137</v>
      </c>
      <c r="D93" s="27">
        <v>5610277520</v>
      </c>
      <c r="E93" s="23">
        <v>0</v>
      </c>
      <c r="F93" s="23">
        <v>700000</v>
      </c>
      <c r="G93" s="23">
        <v>0</v>
      </c>
      <c r="H93" s="23">
        <v>0</v>
      </c>
      <c r="I93" s="23">
        <v>10487880</v>
      </c>
      <c r="J93" s="23">
        <v>11653200</v>
      </c>
      <c r="K93" s="24">
        <f t="shared" si="3"/>
        <v>22841080</v>
      </c>
      <c r="L93" s="23">
        <v>1223586</v>
      </c>
      <c r="M93" s="24">
        <v>15500000</v>
      </c>
      <c r="N93" s="24">
        <f t="shared" si="4"/>
        <v>6117494</v>
      </c>
      <c r="O93" s="80">
        <f t="shared" si="5"/>
        <v>306000</v>
      </c>
      <c r="P93" s="18" t="s">
        <v>544</v>
      </c>
      <c r="Q93" s="18" t="str">
        <f>IFERROR(VLOOKUP(D93,'[1]TT CÁ NHÂN'!$E$3:$F$407,2,FALSE),0)</f>
        <v>t4gchau@gmail.com</v>
      </c>
    </row>
    <row r="94" spans="1:17" s="18" customFormat="1" ht="21" customHeight="1" x14ac:dyDescent="0.25">
      <c r="A94" s="19" t="s">
        <v>27</v>
      </c>
      <c r="B94" s="20">
        <v>92</v>
      </c>
      <c r="C94" s="26" t="s">
        <v>138</v>
      </c>
      <c r="D94" s="27">
        <v>8817396309</v>
      </c>
      <c r="E94" s="23">
        <v>0</v>
      </c>
      <c r="F94" s="23">
        <v>700000</v>
      </c>
      <c r="G94" s="23">
        <v>0</v>
      </c>
      <c r="H94" s="23">
        <v>0</v>
      </c>
      <c r="I94" s="23">
        <v>5623020</v>
      </c>
      <c r="J94" s="23">
        <v>6247800</v>
      </c>
      <c r="K94" s="24">
        <f t="shared" si="3"/>
        <v>12570820</v>
      </c>
      <c r="L94" s="23">
        <v>656019</v>
      </c>
      <c r="M94" s="24">
        <v>15500000</v>
      </c>
      <c r="N94" s="24">
        <f t="shared" si="4"/>
        <v>-3585199</v>
      </c>
      <c r="O94" s="80">
        <f t="shared" si="5"/>
        <v>0</v>
      </c>
      <c r="P94" s="18" t="s">
        <v>545</v>
      </c>
      <c r="Q94" s="18" t="str">
        <f>IFERROR(VLOOKUP(D94,'[1]TT CÁ NHÂN'!$E$3:$F$407,2,FALSE),0)</f>
        <v>hiephuynh14.01@gmail.com</v>
      </c>
    </row>
    <row r="95" spans="1:17" s="18" customFormat="1" ht="21" customHeight="1" x14ac:dyDescent="0.25">
      <c r="A95" s="19" t="s">
        <v>61</v>
      </c>
      <c r="B95" s="20">
        <v>93</v>
      </c>
      <c r="C95" s="26" t="s">
        <v>139</v>
      </c>
      <c r="D95" s="27">
        <v>5611148346</v>
      </c>
      <c r="E95" s="23">
        <v>0</v>
      </c>
      <c r="F95" s="23">
        <v>700000</v>
      </c>
      <c r="G95" s="23">
        <v>0</v>
      </c>
      <c r="H95" s="23">
        <v>0</v>
      </c>
      <c r="I95" s="23">
        <v>6318000</v>
      </c>
      <c r="J95" s="23">
        <v>7020000</v>
      </c>
      <c r="K95" s="24">
        <f t="shared" si="3"/>
        <v>14038000</v>
      </c>
      <c r="L95" s="23">
        <v>737100</v>
      </c>
      <c r="M95" s="24">
        <v>15500000</v>
      </c>
      <c r="N95" s="24">
        <f t="shared" si="4"/>
        <v>-2199100</v>
      </c>
      <c r="O95" s="80">
        <f t="shared" si="5"/>
        <v>0</v>
      </c>
      <c r="P95" s="18" t="s">
        <v>546</v>
      </c>
      <c r="Q95" s="18" t="str">
        <f>IFERROR(VLOOKUP(D95,'[1]TT CÁ NHÂN'!$E$3:$F$407,2,FALSE),0)</f>
        <v>hoangthudng@gmail.com</v>
      </c>
    </row>
    <row r="96" spans="1:17" s="18" customFormat="1" ht="21" customHeight="1" x14ac:dyDescent="0.25">
      <c r="A96" s="19" t="s">
        <v>27</v>
      </c>
      <c r="B96" s="20">
        <v>94</v>
      </c>
      <c r="C96" s="26" t="s">
        <v>140</v>
      </c>
      <c r="D96" s="27" t="s">
        <v>141</v>
      </c>
      <c r="E96" s="23">
        <v>0</v>
      </c>
      <c r="F96" s="23">
        <v>700000</v>
      </c>
      <c r="G96" s="23">
        <v>0</v>
      </c>
      <c r="H96" s="23">
        <v>0</v>
      </c>
      <c r="I96" s="23">
        <v>4928040</v>
      </c>
      <c r="J96" s="23">
        <v>5475600</v>
      </c>
      <c r="K96" s="24">
        <f t="shared" si="3"/>
        <v>11103640</v>
      </c>
      <c r="L96" s="23">
        <v>574938</v>
      </c>
      <c r="M96" s="24">
        <v>21700000</v>
      </c>
      <c r="N96" s="24">
        <f t="shared" si="4"/>
        <v>-11171298</v>
      </c>
      <c r="O96" s="80">
        <f t="shared" si="5"/>
        <v>0</v>
      </c>
      <c r="P96" s="18" t="s">
        <v>841</v>
      </c>
      <c r="Q96" s="18" t="str">
        <f>IFERROR(VLOOKUP(D96,'[1]TT CÁ NHÂN'!$E$3:$F$407,2,FALSE),0)</f>
        <v>001trang100@gmail.com</v>
      </c>
    </row>
    <row r="97" spans="1:17" s="18" customFormat="1" ht="21" customHeight="1" x14ac:dyDescent="0.25">
      <c r="A97" s="19" t="s">
        <v>27</v>
      </c>
      <c r="B97" s="20">
        <v>95</v>
      </c>
      <c r="C97" s="26" t="s">
        <v>142</v>
      </c>
      <c r="D97" s="27" t="s">
        <v>143</v>
      </c>
      <c r="E97" s="23">
        <v>0</v>
      </c>
      <c r="F97" s="23">
        <v>700000</v>
      </c>
      <c r="G97" s="23">
        <v>0</v>
      </c>
      <c r="H97" s="23">
        <v>0</v>
      </c>
      <c r="I97" s="23">
        <v>8402940</v>
      </c>
      <c r="J97" s="23">
        <v>9336600</v>
      </c>
      <c r="K97" s="24">
        <f t="shared" si="3"/>
        <v>18439540</v>
      </c>
      <c r="L97" s="23">
        <v>980343</v>
      </c>
      <c r="M97" s="24">
        <v>27900000</v>
      </c>
      <c r="N97" s="24">
        <f t="shared" si="4"/>
        <v>-10440803</v>
      </c>
      <c r="O97" s="80">
        <f t="shared" si="5"/>
        <v>0</v>
      </c>
      <c r="P97" s="18" t="s">
        <v>842</v>
      </c>
      <c r="Q97" s="18" t="str">
        <f>IFERROR(VLOOKUP(D97,'[1]TT CÁ NHÂN'!$E$3:$F$407,2,FALSE),0)</f>
        <v>huyenhuynh83@gmail.com</v>
      </c>
    </row>
    <row r="98" spans="1:17" s="18" customFormat="1" ht="21" customHeight="1" x14ac:dyDescent="0.25">
      <c r="A98" s="19" t="s">
        <v>102</v>
      </c>
      <c r="B98" s="20">
        <v>96</v>
      </c>
      <c r="C98" s="26" t="s">
        <v>144</v>
      </c>
      <c r="D98" s="27">
        <v>5611149844</v>
      </c>
      <c r="E98" s="23">
        <v>0</v>
      </c>
      <c r="F98" s="23">
        <v>700000</v>
      </c>
      <c r="G98" s="23">
        <v>0</v>
      </c>
      <c r="H98" s="23">
        <v>0</v>
      </c>
      <c r="I98" s="23">
        <v>8171280</v>
      </c>
      <c r="J98" s="23">
        <v>9336600</v>
      </c>
      <c r="K98" s="24">
        <f t="shared" si="3"/>
        <v>18207880</v>
      </c>
      <c r="L98" s="23">
        <v>980343</v>
      </c>
      <c r="M98" s="24">
        <v>27900000</v>
      </c>
      <c r="N98" s="24">
        <f t="shared" si="4"/>
        <v>-10672463</v>
      </c>
      <c r="O98" s="80">
        <f t="shared" si="5"/>
        <v>0</v>
      </c>
      <c r="P98" s="18" t="s">
        <v>547</v>
      </c>
      <c r="Q98" s="18" t="str">
        <f>IFERROR(VLOOKUP(D98,'[1]TT CÁ NHÂN'!$E$3:$F$407,2,FALSE),0)</f>
        <v>htkd20@gmail.com</v>
      </c>
    </row>
    <row r="99" spans="1:17" s="18" customFormat="1" ht="21" customHeight="1" x14ac:dyDescent="0.25">
      <c r="A99" s="19" t="s">
        <v>27</v>
      </c>
      <c r="B99" s="20">
        <v>97</v>
      </c>
      <c r="C99" s="41" t="s">
        <v>145</v>
      </c>
      <c r="D99" s="22">
        <v>8853379940</v>
      </c>
      <c r="E99" s="23">
        <v>0</v>
      </c>
      <c r="F99" s="23">
        <v>700000</v>
      </c>
      <c r="G99" s="23">
        <v>0</v>
      </c>
      <c r="H99" s="23">
        <v>0</v>
      </c>
      <c r="I99" s="23">
        <v>8402940</v>
      </c>
      <c r="J99" s="23">
        <v>9336600</v>
      </c>
      <c r="K99" s="24">
        <f t="shared" si="3"/>
        <v>18439540</v>
      </c>
      <c r="L99" s="23">
        <v>980343</v>
      </c>
      <c r="M99" s="24">
        <v>27900000</v>
      </c>
      <c r="N99" s="24">
        <f t="shared" si="4"/>
        <v>-10440803</v>
      </c>
      <c r="O99" s="80">
        <f t="shared" si="5"/>
        <v>0</v>
      </c>
      <c r="P99" s="18" t="s">
        <v>548</v>
      </c>
      <c r="Q99" s="18" t="str">
        <f>IFERROR(VLOOKUP(D99,'[1]TT CÁ NHÂN'!$E$3:$F$407,2,FALSE),0)</f>
        <v>ngdiemha@gmail.com</v>
      </c>
    </row>
    <row r="100" spans="1:17" s="18" customFormat="1" ht="21" customHeight="1" x14ac:dyDescent="0.25">
      <c r="A100" s="19" t="s">
        <v>112</v>
      </c>
      <c r="B100" s="20">
        <v>98</v>
      </c>
      <c r="C100" s="26" t="s">
        <v>146</v>
      </c>
      <c r="D100" s="27">
        <v>5610369931</v>
      </c>
      <c r="E100" s="23">
        <v>0</v>
      </c>
      <c r="F100" s="23">
        <v>700000</v>
      </c>
      <c r="G100" s="23">
        <v>0</v>
      </c>
      <c r="H100" s="23">
        <v>0</v>
      </c>
      <c r="I100" s="23">
        <v>7707960</v>
      </c>
      <c r="J100" s="23">
        <v>9336600</v>
      </c>
      <c r="K100" s="24">
        <f t="shared" si="3"/>
        <v>17744560</v>
      </c>
      <c r="L100" s="23">
        <v>980343</v>
      </c>
      <c r="M100" s="24">
        <v>40300000</v>
      </c>
      <c r="N100" s="24">
        <f t="shared" si="4"/>
        <v>-23535783</v>
      </c>
      <c r="O100" s="80">
        <f t="shared" si="5"/>
        <v>0</v>
      </c>
      <c r="P100" s="18" t="s">
        <v>549</v>
      </c>
      <c r="Q100" s="18" t="str">
        <f>IFERROR(VLOOKUP(D100,'[1]TT CÁ NHÂN'!$E$3:$F$407,2,FALSE),0)</f>
        <v>nguyetquangnam57@gmail.com</v>
      </c>
    </row>
    <row r="101" spans="1:17" s="18" customFormat="1" ht="21" customHeight="1" x14ac:dyDescent="0.25">
      <c r="A101" s="19" t="s">
        <v>44</v>
      </c>
      <c r="B101" s="20">
        <v>99</v>
      </c>
      <c r="C101" s="30" t="s">
        <v>147</v>
      </c>
      <c r="D101" s="22">
        <v>8813280342</v>
      </c>
      <c r="E101" s="23">
        <v>0</v>
      </c>
      <c r="F101" s="23">
        <v>700000</v>
      </c>
      <c r="G101" s="23">
        <v>0</v>
      </c>
      <c r="H101" s="23">
        <v>0</v>
      </c>
      <c r="I101" s="23">
        <v>4928040</v>
      </c>
      <c r="J101" s="23">
        <v>5475600</v>
      </c>
      <c r="K101" s="24">
        <f t="shared" si="3"/>
        <v>11103640</v>
      </c>
      <c r="L101" s="23">
        <v>574938</v>
      </c>
      <c r="M101" s="24">
        <v>15500000</v>
      </c>
      <c r="N101" s="24">
        <f t="shared" si="4"/>
        <v>-4971298</v>
      </c>
      <c r="O101" s="80">
        <f t="shared" si="5"/>
        <v>0</v>
      </c>
      <c r="P101" s="18" t="s">
        <v>550</v>
      </c>
      <c r="Q101" s="18" t="str">
        <f>IFERROR(VLOOKUP(D101,'[1]TT CÁ NHÂN'!$E$3:$F$407,2,FALSE),0)</f>
        <v>Thanhtuhuynhqn@gmail.com</v>
      </c>
    </row>
    <row r="102" spans="1:17" s="18" customFormat="1" ht="21" customHeight="1" x14ac:dyDescent="0.25">
      <c r="A102" s="19" t="s">
        <v>80</v>
      </c>
      <c r="B102" s="20">
        <v>100</v>
      </c>
      <c r="C102" s="26" t="s">
        <v>148</v>
      </c>
      <c r="D102" s="27">
        <v>5611150004</v>
      </c>
      <c r="E102" s="23">
        <v>0</v>
      </c>
      <c r="F102" s="23">
        <v>700000</v>
      </c>
      <c r="G102" s="23">
        <v>0</v>
      </c>
      <c r="H102" s="23">
        <v>0</v>
      </c>
      <c r="I102" s="23">
        <v>7707960</v>
      </c>
      <c r="J102" s="23">
        <v>8564400</v>
      </c>
      <c r="K102" s="24">
        <f t="shared" si="3"/>
        <v>16972360</v>
      </c>
      <c r="L102" s="23">
        <v>899262</v>
      </c>
      <c r="M102" s="24">
        <v>15500000</v>
      </c>
      <c r="N102" s="24">
        <f t="shared" si="4"/>
        <v>573098</v>
      </c>
      <c r="O102" s="80">
        <f t="shared" si="5"/>
        <v>29000</v>
      </c>
      <c r="P102" s="18" t="s">
        <v>551</v>
      </c>
      <c r="Q102" s="18" t="str">
        <f>IFERROR(VLOOKUP(D102,'[1]TT CÁ NHÂN'!$E$3:$F$407,2,FALSE),0)</f>
        <v>htts101089@gmail.com</v>
      </c>
    </row>
    <row r="103" spans="1:17" s="18" customFormat="1" ht="21" customHeight="1" x14ac:dyDescent="0.25">
      <c r="A103" s="19" t="s">
        <v>22</v>
      </c>
      <c r="B103" s="20">
        <v>101</v>
      </c>
      <c r="C103" s="31" t="s">
        <v>149</v>
      </c>
      <c r="D103" s="22">
        <v>5623448818</v>
      </c>
      <c r="E103" s="23">
        <v>0</v>
      </c>
      <c r="F103" s="23">
        <v>700000</v>
      </c>
      <c r="G103" s="23">
        <v>0</v>
      </c>
      <c r="H103" s="23">
        <v>0</v>
      </c>
      <c r="I103" s="23">
        <v>5623020</v>
      </c>
      <c r="J103" s="23">
        <v>6247800</v>
      </c>
      <c r="K103" s="24">
        <f t="shared" si="3"/>
        <v>12570820</v>
      </c>
      <c r="L103" s="23">
        <v>656019</v>
      </c>
      <c r="M103" s="24">
        <v>21700000</v>
      </c>
      <c r="N103" s="24">
        <f t="shared" si="4"/>
        <v>-9785199</v>
      </c>
      <c r="O103" s="80">
        <f t="shared" si="5"/>
        <v>0</v>
      </c>
      <c r="P103" s="18" t="s">
        <v>552</v>
      </c>
      <c r="Q103" s="18" t="str">
        <f>IFERROR(VLOOKUP(D103,'[1]TT CÁ NHÂN'!$E$3:$F$407,2,FALSE),0)</f>
        <v>huynhthaodt@gmail.com</v>
      </c>
    </row>
    <row r="104" spans="1:17" s="18" customFormat="1" ht="21" customHeight="1" x14ac:dyDescent="0.25">
      <c r="A104" s="19" t="s">
        <v>55</v>
      </c>
      <c r="B104" s="20">
        <v>102</v>
      </c>
      <c r="C104" s="26" t="s">
        <v>150</v>
      </c>
      <c r="D104" s="27">
        <v>5611149941</v>
      </c>
      <c r="E104" s="23">
        <v>0</v>
      </c>
      <c r="F104" s="23">
        <v>700000</v>
      </c>
      <c r="G104" s="23">
        <v>0</v>
      </c>
      <c r="H104" s="23">
        <v>0</v>
      </c>
      <c r="I104" s="23">
        <v>7707960</v>
      </c>
      <c r="J104" s="23">
        <v>8564400</v>
      </c>
      <c r="K104" s="24">
        <f t="shared" si="3"/>
        <v>16972360</v>
      </c>
      <c r="L104" s="23">
        <v>899262</v>
      </c>
      <c r="M104" s="24">
        <v>34100000</v>
      </c>
      <c r="N104" s="24">
        <f t="shared" si="4"/>
        <v>-18026902</v>
      </c>
      <c r="O104" s="80">
        <f t="shared" si="5"/>
        <v>0</v>
      </c>
      <c r="P104" s="18" t="s">
        <v>553</v>
      </c>
      <c r="Q104" s="18" t="str">
        <f>IFERROR(VLOOKUP(D104,'[1]TT CÁ NHÂN'!$E$3:$F$407,2,FALSE),0)</f>
        <v>thuyhuongskss.dn@gmail.com</v>
      </c>
    </row>
    <row r="105" spans="1:17" s="18" customFormat="1" ht="21" customHeight="1" x14ac:dyDescent="0.25">
      <c r="A105" s="19" t="s">
        <v>40</v>
      </c>
      <c r="B105" s="20">
        <v>103</v>
      </c>
      <c r="C105" s="40" t="s">
        <v>151</v>
      </c>
      <c r="D105" s="22">
        <v>5623455085</v>
      </c>
      <c r="E105" s="23">
        <v>0</v>
      </c>
      <c r="F105" s="23">
        <v>700000</v>
      </c>
      <c r="G105" s="23">
        <v>0</v>
      </c>
      <c r="H105" s="23">
        <v>0</v>
      </c>
      <c r="I105" s="23">
        <v>8065980</v>
      </c>
      <c r="J105" s="23">
        <v>8962200</v>
      </c>
      <c r="K105" s="24">
        <f t="shared" si="3"/>
        <v>17728180</v>
      </c>
      <c r="L105" s="23">
        <v>941031</v>
      </c>
      <c r="M105" s="24">
        <v>27900000</v>
      </c>
      <c r="N105" s="24">
        <f t="shared" si="4"/>
        <v>-11112851</v>
      </c>
      <c r="O105" s="80">
        <f t="shared" si="5"/>
        <v>0</v>
      </c>
      <c r="P105" s="18" t="s">
        <v>554</v>
      </c>
      <c r="Q105" s="18" t="str">
        <f>IFERROR(VLOOKUP(D105,'[1]TT CÁ NHÂN'!$E$3:$F$407,2,FALSE),0)</f>
        <v>thuyloan.skmt@gmail.com</v>
      </c>
    </row>
    <row r="106" spans="1:17" s="18" customFormat="1" ht="21" customHeight="1" x14ac:dyDescent="0.25">
      <c r="A106" s="19" t="s">
        <v>50</v>
      </c>
      <c r="B106" s="20">
        <v>104</v>
      </c>
      <c r="C106" s="25" t="s">
        <v>152</v>
      </c>
      <c r="D106" s="22">
        <v>5622712370</v>
      </c>
      <c r="E106" s="23">
        <v>0</v>
      </c>
      <c r="F106" s="23">
        <v>700000</v>
      </c>
      <c r="G106" s="23">
        <v>0</v>
      </c>
      <c r="H106" s="23">
        <v>0</v>
      </c>
      <c r="I106" s="23">
        <v>0</v>
      </c>
      <c r="J106" s="23">
        <v>5475600</v>
      </c>
      <c r="K106" s="24">
        <f t="shared" si="3"/>
        <v>6175600</v>
      </c>
      <c r="L106" s="23">
        <v>574938</v>
      </c>
      <c r="M106" s="24">
        <v>15500000</v>
      </c>
      <c r="N106" s="24">
        <f t="shared" si="4"/>
        <v>-9899338</v>
      </c>
      <c r="O106" s="80">
        <f t="shared" si="5"/>
        <v>0</v>
      </c>
      <c r="P106" s="18" t="s">
        <v>555</v>
      </c>
      <c r="Q106" s="18" t="str">
        <f>IFERROR(VLOOKUP(D106,'[1]TT CÁ NHÂN'!$E$3:$F$407,2,FALSE),0)</f>
        <v>truclinhqna14@gmail.com</v>
      </c>
    </row>
    <row r="107" spans="1:17" s="18" customFormat="1" ht="21" customHeight="1" x14ac:dyDescent="0.25">
      <c r="A107" s="19" t="s">
        <v>27</v>
      </c>
      <c r="B107" s="20">
        <v>105</v>
      </c>
      <c r="C107" s="26" t="s">
        <v>153</v>
      </c>
      <c r="D107" s="27">
        <v>8807399273</v>
      </c>
      <c r="E107" s="23">
        <v>0</v>
      </c>
      <c r="F107" s="23">
        <v>700000</v>
      </c>
      <c r="G107" s="23">
        <v>0</v>
      </c>
      <c r="H107" s="23">
        <v>0</v>
      </c>
      <c r="I107" s="23">
        <v>5623020</v>
      </c>
      <c r="J107" s="23">
        <v>6247800</v>
      </c>
      <c r="K107" s="24">
        <f t="shared" si="3"/>
        <v>12570820</v>
      </c>
      <c r="L107" s="23">
        <v>656019</v>
      </c>
      <c r="M107" s="24">
        <v>21700000</v>
      </c>
      <c r="N107" s="24">
        <f t="shared" si="4"/>
        <v>-9785199</v>
      </c>
      <c r="O107" s="80">
        <f t="shared" si="5"/>
        <v>0</v>
      </c>
      <c r="P107" s="18" t="s">
        <v>556</v>
      </c>
      <c r="Q107" s="18" t="str">
        <f>IFERROR(VLOOKUP(D107,'[1]TT CÁ NHÂN'!$E$3:$F$407,2,FALSE),0)</f>
        <v>huynhvananhthi@gmail.com</v>
      </c>
    </row>
    <row r="108" spans="1:17" s="18" customFormat="1" ht="21" customHeight="1" x14ac:dyDescent="0.25">
      <c r="A108" s="19" t="s">
        <v>61</v>
      </c>
      <c r="B108" s="20">
        <v>106</v>
      </c>
      <c r="C108" s="26" t="s">
        <v>154</v>
      </c>
      <c r="D108" s="27">
        <v>5611150280</v>
      </c>
      <c r="E108" s="23">
        <v>100000</v>
      </c>
      <c r="F108" s="23">
        <v>700000</v>
      </c>
      <c r="G108" s="23">
        <v>0</v>
      </c>
      <c r="H108" s="23">
        <v>0</v>
      </c>
      <c r="I108" s="23">
        <v>0</v>
      </c>
      <c r="J108" s="23">
        <v>5194800</v>
      </c>
      <c r="K108" s="24">
        <f t="shared" si="3"/>
        <v>5994800</v>
      </c>
      <c r="L108" s="23">
        <v>545454</v>
      </c>
      <c r="M108" s="24">
        <v>15500000</v>
      </c>
      <c r="N108" s="24">
        <f t="shared" si="4"/>
        <v>-10050654</v>
      </c>
      <c r="O108" s="80">
        <f t="shared" si="5"/>
        <v>0</v>
      </c>
      <c r="P108" s="18">
        <v>0</v>
      </c>
      <c r="Q108" s="18">
        <f>IFERROR(VLOOKUP(D108,'[1]TT CÁ NHÂN'!$E$3:$F$407,2,FALSE),0)</f>
        <v>0</v>
      </c>
    </row>
    <row r="109" spans="1:17" s="18" customFormat="1" ht="21" customHeight="1" x14ac:dyDescent="0.25">
      <c r="A109" s="19" t="s">
        <v>61</v>
      </c>
      <c r="B109" s="20">
        <v>107</v>
      </c>
      <c r="C109" s="26" t="s">
        <v>155</v>
      </c>
      <c r="D109" s="27">
        <v>5611148461</v>
      </c>
      <c r="E109" s="23">
        <v>0</v>
      </c>
      <c r="F109" s="23">
        <v>700000</v>
      </c>
      <c r="G109" s="23">
        <v>0</v>
      </c>
      <c r="H109" s="23">
        <v>0</v>
      </c>
      <c r="I109" s="23">
        <v>5623020</v>
      </c>
      <c r="J109" s="23">
        <v>6247800</v>
      </c>
      <c r="K109" s="24">
        <f t="shared" si="3"/>
        <v>12570820</v>
      </c>
      <c r="L109" s="23">
        <v>656019</v>
      </c>
      <c r="M109" s="24">
        <v>21700000</v>
      </c>
      <c r="N109" s="24">
        <f t="shared" si="4"/>
        <v>-9785199</v>
      </c>
      <c r="O109" s="80">
        <f t="shared" si="5"/>
        <v>0</v>
      </c>
      <c r="P109" s="18" t="s">
        <v>557</v>
      </c>
      <c r="Q109" s="18" t="str">
        <f>IFERROR(VLOOKUP(D109,'[1]TT CÁ NHÂN'!$E$3:$F$407,2,FALSE),0)</f>
        <v>laithihuyentrang@gmail.com</v>
      </c>
    </row>
    <row r="110" spans="1:17" s="18" customFormat="1" ht="21" customHeight="1" x14ac:dyDescent="0.25">
      <c r="A110" s="19" t="s">
        <v>27</v>
      </c>
      <c r="B110" s="20">
        <v>108</v>
      </c>
      <c r="C110" s="31" t="s">
        <v>156</v>
      </c>
      <c r="D110" s="48">
        <v>8813278450</v>
      </c>
      <c r="E110" s="23">
        <v>0</v>
      </c>
      <c r="F110" s="23">
        <v>700000</v>
      </c>
      <c r="G110" s="23">
        <v>0</v>
      </c>
      <c r="H110" s="23">
        <v>0</v>
      </c>
      <c r="I110" s="23">
        <v>0</v>
      </c>
      <c r="J110" s="23">
        <v>0</v>
      </c>
      <c r="K110" s="24">
        <f t="shared" si="3"/>
        <v>700000</v>
      </c>
      <c r="L110" s="23">
        <v>0</v>
      </c>
      <c r="M110" s="24">
        <v>21700000</v>
      </c>
      <c r="N110" s="24">
        <f t="shared" si="4"/>
        <v>-21000000</v>
      </c>
      <c r="O110" s="80">
        <f t="shared" si="5"/>
        <v>0</v>
      </c>
      <c r="P110" s="18" t="s">
        <v>558</v>
      </c>
      <c r="Q110" s="18" t="str">
        <f>IFERROR(VLOOKUP(D110,'[1]TT CÁ NHÂN'!$E$3:$F$407,2,FALSE),0)</f>
        <v>ngochanh250493@gmail.com</v>
      </c>
    </row>
    <row r="111" spans="1:17" s="18" customFormat="1" ht="21" customHeight="1" x14ac:dyDescent="0.25">
      <c r="A111" s="19" t="s">
        <v>157</v>
      </c>
      <c r="B111" s="20">
        <v>109</v>
      </c>
      <c r="C111" s="26" t="s">
        <v>158</v>
      </c>
      <c r="D111" s="27">
        <v>5611148160</v>
      </c>
      <c r="E111" s="23">
        <v>0</v>
      </c>
      <c r="F111" s="23">
        <v>700000</v>
      </c>
      <c r="G111" s="23">
        <v>0</v>
      </c>
      <c r="H111" s="23">
        <v>0</v>
      </c>
      <c r="I111" s="23">
        <v>7012980</v>
      </c>
      <c r="J111" s="23">
        <v>7792200</v>
      </c>
      <c r="K111" s="24">
        <f t="shared" si="3"/>
        <v>15505180</v>
      </c>
      <c r="L111" s="23">
        <v>818181</v>
      </c>
      <c r="M111" s="24">
        <v>27900000</v>
      </c>
      <c r="N111" s="24">
        <f t="shared" si="4"/>
        <v>-13213001</v>
      </c>
      <c r="O111" s="80">
        <f t="shared" si="5"/>
        <v>0</v>
      </c>
      <c r="P111" s="18" t="s">
        <v>559</v>
      </c>
      <c r="Q111" s="18" t="str">
        <f>IFERROR(VLOOKUP(D111,'[1]TT CÁ NHÂN'!$E$3:$F$407,2,FALSE),0)</f>
        <v>lamphungphong189@gmail.com</v>
      </c>
    </row>
    <row r="112" spans="1:17" s="18" customFormat="1" ht="21" customHeight="1" x14ac:dyDescent="0.25">
      <c r="A112" s="19" t="s">
        <v>44</v>
      </c>
      <c r="B112" s="20">
        <v>110</v>
      </c>
      <c r="C112" s="26" t="s">
        <v>159</v>
      </c>
      <c r="D112" s="27">
        <v>8887397187</v>
      </c>
      <c r="E112" s="23">
        <v>0</v>
      </c>
      <c r="F112" s="23">
        <v>700000</v>
      </c>
      <c r="G112" s="23">
        <v>0</v>
      </c>
      <c r="H112" s="23">
        <v>0</v>
      </c>
      <c r="I112" s="23">
        <v>6318000</v>
      </c>
      <c r="J112" s="23">
        <v>7020000</v>
      </c>
      <c r="K112" s="24">
        <f t="shared" si="3"/>
        <v>14038000</v>
      </c>
      <c r="L112" s="23">
        <v>737100</v>
      </c>
      <c r="M112" s="24">
        <v>27900000</v>
      </c>
      <c r="N112" s="24">
        <f t="shared" si="4"/>
        <v>-14599100</v>
      </c>
      <c r="O112" s="80">
        <f t="shared" si="5"/>
        <v>0</v>
      </c>
      <c r="P112" s="18" t="s">
        <v>560</v>
      </c>
      <c r="Q112" s="18" t="str">
        <f>IFERROR(VLOOKUP(D112,'[1]TT CÁ NHÂN'!$E$3:$F$407,2,FALSE),0)</f>
        <v>lamthinhanh@gmail.com</v>
      </c>
    </row>
    <row r="113" spans="1:17" s="18" customFormat="1" ht="21" customHeight="1" x14ac:dyDescent="0.25">
      <c r="A113" s="19" t="s">
        <v>22</v>
      </c>
      <c r="B113" s="20">
        <v>111</v>
      </c>
      <c r="C113" s="26" t="s">
        <v>160</v>
      </c>
      <c r="D113" s="27">
        <v>5611148869</v>
      </c>
      <c r="E113" s="23">
        <v>100000</v>
      </c>
      <c r="F113" s="23">
        <v>700000</v>
      </c>
      <c r="G113" s="23">
        <v>0</v>
      </c>
      <c r="H113" s="23">
        <v>0</v>
      </c>
      <c r="I113" s="23">
        <v>0</v>
      </c>
      <c r="J113" s="23">
        <v>6458400</v>
      </c>
      <c r="K113" s="24">
        <f t="shared" si="3"/>
        <v>7258400</v>
      </c>
      <c r="L113" s="23">
        <v>678132</v>
      </c>
      <c r="M113" s="24">
        <v>21700000</v>
      </c>
      <c r="N113" s="24">
        <f t="shared" si="4"/>
        <v>-15119732</v>
      </c>
      <c r="O113" s="80">
        <f t="shared" si="5"/>
        <v>0</v>
      </c>
      <c r="P113" s="18">
        <v>0</v>
      </c>
      <c r="Q113" s="18">
        <f>IFERROR(VLOOKUP(D113,'[1]TT CÁ NHÂN'!$E$3:$F$407,2,FALSE),0)</f>
        <v>0</v>
      </c>
    </row>
    <row r="114" spans="1:17" s="18" customFormat="1" ht="21" customHeight="1" x14ac:dyDescent="0.25">
      <c r="A114" s="19" t="s">
        <v>61</v>
      </c>
      <c r="B114" s="20">
        <v>112</v>
      </c>
      <c r="C114" s="26" t="s">
        <v>161</v>
      </c>
      <c r="D114" s="27">
        <v>5610225875</v>
      </c>
      <c r="E114" s="23">
        <v>0</v>
      </c>
      <c r="F114" s="23">
        <v>700000</v>
      </c>
      <c r="G114" s="23">
        <v>0</v>
      </c>
      <c r="H114" s="23">
        <v>0</v>
      </c>
      <c r="I114" s="23">
        <v>5391360</v>
      </c>
      <c r="J114" s="23">
        <v>6247800</v>
      </c>
      <c r="K114" s="24">
        <f t="shared" si="3"/>
        <v>12339160</v>
      </c>
      <c r="L114" s="23">
        <v>656019</v>
      </c>
      <c r="M114" s="24">
        <v>27900000</v>
      </c>
      <c r="N114" s="24">
        <f t="shared" si="4"/>
        <v>-16216859</v>
      </c>
      <c r="O114" s="80">
        <f t="shared" si="5"/>
        <v>0</v>
      </c>
      <c r="P114" s="18" t="s">
        <v>561</v>
      </c>
      <c r="Q114" s="18" t="str">
        <f>IFERROR(VLOOKUP(D114,'[1]TT CÁ NHÂN'!$E$3:$F$407,2,FALSE),0)</f>
        <v>conghaiksbtdn@gmail.com</v>
      </c>
    </row>
    <row r="115" spans="1:17" s="18" customFormat="1" ht="21" customHeight="1" x14ac:dyDescent="0.25">
      <c r="A115" s="19" t="s">
        <v>34</v>
      </c>
      <c r="B115" s="20">
        <v>113</v>
      </c>
      <c r="C115" s="26" t="s">
        <v>162</v>
      </c>
      <c r="D115" s="27">
        <v>5610228403</v>
      </c>
      <c r="E115" s="23">
        <v>0</v>
      </c>
      <c r="F115" s="23">
        <v>700000</v>
      </c>
      <c r="G115" s="23">
        <v>2160000</v>
      </c>
      <c r="H115" s="23">
        <v>0</v>
      </c>
      <c r="I115" s="23">
        <v>9455940</v>
      </c>
      <c r="J115" s="23">
        <v>10506600</v>
      </c>
      <c r="K115" s="24">
        <f t="shared" si="3"/>
        <v>22822540</v>
      </c>
      <c r="L115" s="23">
        <v>1103193</v>
      </c>
      <c r="M115" s="24">
        <v>27900000</v>
      </c>
      <c r="N115" s="24">
        <f t="shared" si="4"/>
        <v>-6180653</v>
      </c>
      <c r="O115" s="80">
        <f t="shared" si="5"/>
        <v>0</v>
      </c>
      <c r="P115" s="18" t="s">
        <v>562</v>
      </c>
      <c r="Q115" s="18" t="str">
        <f>IFERROR(VLOOKUP(D115,'[1]TT CÁ NHÂN'!$E$3:$F$407,2,FALSE),0)</f>
        <v>doanbnndng@gmail.com</v>
      </c>
    </row>
    <row r="116" spans="1:17" s="18" customFormat="1" ht="21" customHeight="1" x14ac:dyDescent="0.25">
      <c r="A116" s="19" t="s">
        <v>40</v>
      </c>
      <c r="B116" s="20">
        <v>114</v>
      </c>
      <c r="C116" s="30" t="s">
        <v>163</v>
      </c>
      <c r="D116" s="22">
        <v>8803373280</v>
      </c>
      <c r="E116" s="23">
        <v>0</v>
      </c>
      <c r="F116" s="23">
        <v>700000</v>
      </c>
      <c r="G116" s="23">
        <v>0</v>
      </c>
      <c r="H116" s="23">
        <v>0</v>
      </c>
      <c r="I116" s="23">
        <v>6872580</v>
      </c>
      <c r="J116" s="23">
        <v>6247800</v>
      </c>
      <c r="K116" s="24">
        <f t="shared" si="3"/>
        <v>13820380</v>
      </c>
      <c r="L116" s="23">
        <v>656019</v>
      </c>
      <c r="M116" s="24">
        <v>15500000</v>
      </c>
      <c r="N116" s="24">
        <f t="shared" si="4"/>
        <v>-2335639</v>
      </c>
      <c r="O116" s="80">
        <f t="shared" si="5"/>
        <v>0</v>
      </c>
      <c r="P116" s="18" t="s">
        <v>563</v>
      </c>
      <c r="Q116" s="18" t="str">
        <f>IFERROR(VLOOKUP(D116,'[1]TT CÁ NHÂN'!$E$3:$F$407,2,FALSE),0)</f>
        <v>duchau010295@gmail.com</v>
      </c>
    </row>
    <row r="117" spans="1:17" s="18" customFormat="1" ht="21" customHeight="1" x14ac:dyDescent="0.25">
      <c r="A117" s="19" t="s">
        <v>31</v>
      </c>
      <c r="B117" s="20">
        <v>115</v>
      </c>
      <c r="C117" s="28" t="s">
        <v>164</v>
      </c>
      <c r="D117" s="22">
        <v>5623455191</v>
      </c>
      <c r="E117" s="23">
        <v>0</v>
      </c>
      <c r="F117" s="23">
        <v>700000</v>
      </c>
      <c r="G117" s="23">
        <v>0</v>
      </c>
      <c r="H117" s="23">
        <v>0</v>
      </c>
      <c r="I117" s="23">
        <v>12065274</v>
      </c>
      <c r="J117" s="23">
        <v>13405860</v>
      </c>
      <c r="K117" s="24">
        <f t="shared" si="3"/>
        <v>26171134</v>
      </c>
      <c r="L117" s="23">
        <v>1407615</v>
      </c>
      <c r="M117" s="24">
        <v>27900000</v>
      </c>
      <c r="N117" s="24">
        <f t="shared" si="4"/>
        <v>-3136481</v>
      </c>
      <c r="O117" s="80">
        <f t="shared" si="5"/>
        <v>0</v>
      </c>
      <c r="P117" s="18" t="s">
        <v>564</v>
      </c>
      <c r="Q117" s="18" t="str">
        <f>IFERROR(VLOOKUP(D117,'[1]TT CÁ NHÂN'!$E$3:$F$407,2,FALSE),0)</f>
        <v>ledungkdqt@gmail.com</v>
      </c>
    </row>
    <row r="118" spans="1:17" s="18" customFormat="1" ht="21" customHeight="1" x14ac:dyDescent="0.25">
      <c r="A118" s="19" t="s">
        <v>27</v>
      </c>
      <c r="B118" s="20">
        <v>116</v>
      </c>
      <c r="C118" s="41" t="s">
        <v>165</v>
      </c>
      <c r="D118" s="22">
        <v>5623455067</v>
      </c>
      <c r="E118" s="23">
        <v>0</v>
      </c>
      <c r="F118" s="23">
        <v>700000</v>
      </c>
      <c r="G118" s="23">
        <v>0</v>
      </c>
      <c r="H118" s="23">
        <v>0</v>
      </c>
      <c r="I118" s="23">
        <v>7012980</v>
      </c>
      <c r="J118" s="23">
        <v>7792200</v>
      </c>
      <c r="K118" s="24">
        <f t="shared" si="3"/>
        <v>15505180</v>
      </c>
      <c r="L118" s="23">
        <v>818181</v>
      </c>
      <c r="M118" s="24">
        <v>21700000</v>
      </c>
      <c r="N118" s="24">
        <f t="shared" si="4"/>
        <v>-7013001</v>
      </c>
      <c r="O118" s="80">
        <f t="shared" si="5"/>
        <v>0</v>
      </c>
      <c r="P118" s="18" t="s">
        <v>565</v>
      </c>
      <c r="Q118" s="18" t="str">
        <f>IFERROR(VLOOKUP(D118,'[1]TT CÁ NHÂN'!$E$3:$F$407,2,FALSE),0)</f>
        <v>duynhan18102016@gmail.com</v>
      </c>
    </row>
    <row r="119" spans="1:17" s="18" customFormat="1" ht="21" customHeight="1" x14ac:dyDescent="0.25">
      <c r="A119" s="19" t="s">
        <v>40</v>
      </c>
      <c r="B119" s="20">
        <v>117</v>
      </c>
      <c r="C119" s="26" t="s">
        <v>166</v>
      </c>
      <c r="D119" s="27">
        <v>5611148489</v>
      </c>
      <c r="E119" s="23">
        <v>0</v>
      </c>
      <c r="F119" s="23">
        <v>700000</v>
      </c>
      <c r="G119" s="23">
        <v>0</v>
      </c>
      <c r="H119" s="23">
        <v>0</v>
      </c>
      <c r="I119" s="23">
        <v>0</v>
      </c>
      <c r="J119" s="23">
        <v>6692400</v>
      </c>
      <c r="K119" s="24">
        <f t="shared" si="3"/>
        <v>7392400</v>
      </c>
      <c r="L119" s="23">
        <v>702702</v>
      </c>
      <c r="M119" s="24">
        <v>27900000</v>
      </c>
      <c r="N119" s="24">
        <f t="shared" si="4"/>
        <v>-21210302</v>
      </c>
      <c r="O119" s="80">
        <f t="shared" si="5"/>
        <v>0</v>
      </c>
      <c r="P119" s="18" t="s">
        <v>566</v>
      </c>
      <c r="Q119" s="18" t="str">
        <f>IFERROR(VLOOKUP(D119,'[1]TT CÁ NHÂN'!$E$3:$F$407,2,FALSE),0)</f>
        <v>hoangphuckdqt@gmail.com</v>
      </c>
    </row>
    <row r="120" spans="1:17" s="18" customFormat="1" ht="21" customHeight="1" x14ac:dyDescent="0.25">
      <c r="A120" s="19" t="s">
        <v>94</v>
      </c>
      <c r="B120" s="20">
        <v>118</v>
      </c>
      <c r="C120" s="26" t="s">
        <v>167</v>
      </c>
      <c r="D120" s="27">
        <v>5611150147</v>
      </c>
      <c r="E120" s="23">
        <v>0</v>
      </c>
      <c r="F120" s="23">
        <v>700000</v>
      </c>
      <c r="G120" s="23">
        <v>0</v>
      </c>
      <c r="H120" s="23">
        <v>0</v>
      </c>
      <c r="I120" s="23">
        <v>7012980</v>
      </c>
      <c r="J120" s="23">
        <v>7792200</v>
      </c>
      <c r="K120" s="24">
        <f t="shared" si="3"/>
        <v>15505180</v>
      </c>
      <c r="L120" s="23">
        <v>818181</v>
      </c>
      <c r="M120" s="24">
        <v>21700000</v>
      </c>
      <c r="N120" s="24">
        <f t="shared" si="4"/>
        <v>-7013001</v>
      </c>
      <c r="O120" s="80">
        <f t="shared" si="5"/>
        <v>0</v>
      </c>
      <c r="P120" s="18" t="s">
        <v>567</v>
      </c>
      <c r="Q120" s="18" t="str">
        <f>IFERROR(VLOOKUP(D120,'[1]TT CÁ NHÂN'!$E$3:$F$407,2,FALSE),0)</f>
        <v>hoangthonglemai@gmail.com</v>
      </c>
    </row>
    <row r="121" spans="1:17" s="18" customFormat="1" ht="21" customHeight="1" x14ac:dyDescent="0.25">
      <c r="A121" s="19" t="s">
        <v>64</v>
      </c>
      <c r="B121" s="20">
        <v>119</v>
      </c>
      <c r="C121" s="26" t="s">
        <v>168</v>
      </c>
      <c r="D121" s="27">
        <v>5610277511</v>
      </c>
      <c r="E121" s="23">
        <v>0</v>
      </c>
      <c r="F121" s="23">
        <v>700000</v>
      </c>
      <c r="G121" s="23">
        <v>0</v>
      </c>
      <c r="H121" s="23">
        <v>0</v>
      </c>
      <c r="I121" s="23">
        <v>8339760</v>
      </c>
      <c r="J121" s="23">
        <v>9266400</v>
      </c>
      <c r="K121" s="24">
        <f t="shared" si="3"/>
        <v>18306160</v>
      </c>
      <c r="L121" s="23">
        <v>972972</v>
      </c>
      <c r="M121" s="24">
        <v>21700000</v>
      </c>
      <c r="N121" s="24">
        <f t="shared" si="4"/>
        <v>-4366812</v>
      </c>
      <c r="O121" s="80">
        <f t="shared" si="5"/>
        <v>0</v>
      </c>
      <c r="P121" s="18" t="s">
        <v>568</v>
      </c>
      <c r="Q121" s="18" t="str">
        <f>IFERROR(VLOOKUP(D121,'[1]TT CÁ NHÂN'!$E$3:$F$407,2,FALSE),0)</f>
        <v>chaugdskktnn@gmail.com</v>
      </c>
    </row>
    <row r="122" spans="1:17" s="18" customFormat="1" ht="21" customHeight="1" x14ac:dyDescent="0.25">
      <c r="A122" s="19" t="s">
        <v>22</v>
      </c>
      <c r="B122" s="20">
        <v>120</v>
      </c>
      <c r="C122" s="26" t="s">
        <v>169</v>
      </c>
      <c r="D122" s="27">
        <v>5611151371</v>
      </c>
      <c r="E122" s="23">
        <v>0</v>
      </c>
      <c r="F122" s="23">
        <v>700000</v>
      </c>
      <c r="G122" s="23">
        <v>0</v>
      </c>
      <c r="H122" s="23">
        <v>0</v>
      </c>
      <c r="I122" s="23">
        <v>8402940</v>
      </c>
      <c r="J122" s="23">
        <v>9336600</v>
      </c>
      <c r="K122" s="24">
        <f t="shared" si="3"/>
        <v>18439540</v>
      </c>
      <c r="L122" s="23">
        <v>980343</v>
      </c>
      <c r="M122" s="24">
        <v>27900000</v>
      </c>
      <c r="N122" s="24">
        <f t="shared" si="4"/>
        <v>-10440803</v>
      </c>
      <c r="O122" s="80">
        <f t="shared" si="5"/>
        <v>0</v>
      </c>
      <c r="P122" s="18" t="s">
        <v>569</v>
      </c>
      <c r="Q122" s="18" t="str">
        <f>IFERROR(VLOOKUP(D122,'[1]TT CÁ NHÂN'!$E$3:$F$407,2,FALSE),0)</f>
        <v>quangminh163@gmail.com</v>
      </c>
    </row>
    <row r="123" spans="1:17" s="18" customFormat="1" ht="21" customHeight="1" x14ac:dyDescent="0.25">
      <c r="A123" s="19" t="s">
        <v>42</v>
      </c>
      <c r="B123" s="20">
        <v>121</v>
      </c>
      <c r="C123" s="31" t="s">
        <v>170</v>
      </c>
      <c r="D123" s="49">
        <v>5622084264</v>
      </c>
      <c r="E123" s="23">
        <v>0</v>
      </c>
      <c r="F123" s="23">
        <v>700000</v>
      </c>
      <c r="G123" s="23">
        <v>0</v>
      </c>
      <c r="H123" s="23">
        <v>700000</v>
      </c>
      <c r="I123" s="23">
        <v>6318000</v>
      </c>
      <c r="J123" s="23">
        <v>7020000</v>
      </c>
      <c r="K123" s="24">
        <f t="shared" si="3"/>
        <v>14738000</v>
      </c>
      <c r="L123" s="23">
        <v>737100</v>
      </c>
      <c r="M123" s="24">
        <v>27900000</v>
      </c>
      <c r="N123" s="24">
        <f t="shared" si="4"/>
        <v>-13899100</v>
      </c>
      <c r="O123" s="80">
        <f t="shared" si="5"/>
        <v>0</v>
      </c>
      <c r="P123" s="18" t="s">
        <v>840</v>
      </c>
      <c r="Q123" s="18" t="str">
        <f>IFERROR(VLOOKUP(D123,'[1]TT CÁ NHÂN'!$E$3:$F$407,2,FALSE),0)</f>
        <v>bsninhntm@gmail.con</v>
      </c>
    </row>
    <row r="124" spans="1:17" s="18" customFormat="1" ht="21" customHeight="1" x14ac:dyDescent="0.25">
      <c r="A124" s="19" t="s">
        <v>22</v>
      </c>
      <c r="B124" s="20">
        <v>122</v>
      </c>
      <c r="C124" s="26" t="s">
        <v>171</v>
      </c>
      <c r="D124" s="27">
        <v>5610226328</v>
      </c>
      <c r="E124" s="23">
        <v>0</v>
      </c>
      <c r="F124" s="23">
        <v>700000</v>
      </c>
      <c r="G124" s="23">
        <v>0</v>
      </c>
      <c r="H124" s="23">
        <v>0</v>
      </c>
      <c r="I124" s="23">
        <v>15247440</v>
      </c>
      <c r="J124" s="23">
        <v>16941600</v>
      </c>
      <c r="K124" s="24">
        <f t="shared" si="3"/>
        <v>32889040</v>
      </c>
      <c r="L124" s="23">
        <v>1778868</v>
      </c>
      <c r="M124" s="24">
        <v>27900000</v>
      </c>
      <c r="N124" s="24">
        <f t="shared" si="4"/>
        <v>3210172</v>
      </c>
      <c r="O124" s="80">
        <f t="shared" si="5"/>
        <v>161000</v>
      </c>
      <c r="P124" s="18" t="s">
        <v>570</v>
      </c>
      <c r="Q124" s="18" t="str">
        <f>IFERROR(VLOOKUP(D124,'[1]TT CÁ NHÂN'!$E$3:$F$407,2,FALSE),0)</f>
        <v>lethanhchung1965@gmail.com</v>
      </c>
    </row>
    <row r="125" spans="1:17" s="18" customFormat="1" ht="21" customHeight="1" x14ac:dyDescent="0.25">
      <c r="A125" s="19" t="s">
        <v>31</v>
      </c>
      <c r="B125" s="20">
        <v>123</v>
      </c>
      <c r="C125" s="26" t="s">
        <v>172</v>
      </c>
      <c r="D125" s="27">
        <v>5611148513</v>
      </c>
      <c r="E125" s="23">
        <v>0</v>
      </c>
      <c r="F125" s="23">
        <v>700000</v>
      </c>
      <c r="G125" s="23">
        <v>0</v>
      </c>
      <c r="H125" s="23">
        <v>0</v>
      </c>
      <c r="I125" s="23">
        <v>6318000</v>
      </c>
      <c r="J125" s="23">
        <v>7020000</v>
      </c>
      <c r="K125" s="24">
        <f t="shared" si="3"/>
        <v>14038000</v>
      </c>
      <c r="L125" s="23">
        <v>737100</v>
      </c>
      <c r="M125" s="24">
        <v>21700000</v>
      </c>
      <c r="N125" s="24">
        <f t="shared" si="4"/>
        <v>-8399100</v>
      </c>
      <c r="O125" s="80">
        <f t="shared" si="5"/>
        <v>0</v>
      </c>
      <c r="P125" s="18" t="s">
        <v>571</v>
      </c>
      <c r="Q125" s="18" t="str">
        <f>IFERROR(VLOOKUP(D125,'[1]TT CÁ NHÂN'!$E$3:$F$407,2,FALSE),0)</f>
        <v>hongkdqt@gmail.com</v>
      </c>
    </row>
    <row r="126" spans="1:17" s="18" customFormat="1" ht="21" customHeight="1" x14ac:dyDescent="0.25">
      <c r="A126" s="19" t="s">
        <v>157</v>
      </c>
      <c r="B126" s="20">
        <v>124</v>
      </c>
      <c r="C126" s="26" t="s">
        <v>173</v>
      </c>
      <c r="D126" s="27">
        <v>5610602821</v>
      </c>
      <c r="E126" s="23">
        <v>0</v>
      </c>
      <c r="F126" s="23">
        <v>700000</v>
      </c>
      <c r="G126" s="23">
        <v>0</v>
      </c>
      <c r="H126" s="23">
        <v>0</v>
      </c>
      <c r="I126" s="23">
        <v>8402940</v>
      </c>
      <c r="J126" s="23">
        <v>9336600</v>
      </c>
      <c r="K126" s="24">
        <f t="shared" si="3"/>
        <v>18439540</v>
      </c>
      <c r="L126" s="23">
        <v>980343</v>
      </c>
      <c r="M126" s="24">
        <v>34100000</v>
      </c>
      <c r="N126" s="24">
        <f t="shared" si="4"/>
        <v>-16640803</v>
      </c>
      <c r="O126" s="80">
        <f t="shared" si="5"/>
        <v>0</v>
      </c>
      <c r="P126" s="18" t="s">
        <v>572</v>
      </c>
      <c r="Q126" s="18" t="str">
        <f>IFERROR(VLOOKUP(D126,'[1]TT CÁ NHÂN'!$E$3:$F$407,2,FALSE),0)</f>
        <v>Phuongcanada2021@gmail.com</v>
      </c>
    </row>
    <row r="127" spans="1:17" s="18" customFormat="1" ht="21" customHeight="1" x14ac:dyDescent="0.25">
      <c r="A127" s="19" t="s">
        <v>61</v>
      </c>
      <c r="B127" s="20">
        <v>125</v>
      </c>
      <c r="C127" s="26" t="s">
        <v>174</v>
      </c>
      <c r="D127" s="27">
        <v>5611149011</v>
      </c>
      <c r="E127" s="23">
        <v>0</v>
      </c>
      <c r="F127" s="23">
        <v>700000</v>
      </c>
      <c r="G127" s="23">
        <v>0</v>
      </c>
      <c r="H127" s="23">
        <v>0</v>
      </c>
      <c r="I127" s="23">
        <v>7707960</v>
      </c>
      <c r="J127" s="23">
        <v>8564400</v>
      </c>
      <c r="K127" s="24">
        <f t="shared" si="3"/>
        <v>16972360</v>
      </c>
      <c r="L127" s="23">
        <v>899262</v>
      </c>
      <c r="M127" s="24">
        <v>27900000</v>
      </c>
      <c r="N127" s="24">
        <f t="shared" si="4"/>
        <v>-11826902</v>
      </c>
      <c r="O127" s="80">
        <f t="shared" si="5"/>
        <v>0</v>
      </c>
      <c r="P127" s="18" t="s">
        <v>573</v>
      </c>
      <c r="Q127" s="18" t="str">
        <f>IFERROR(VLOOKUP(D127,'[1]TT CÁ NHÂN'!$E$3:$F$407,2,FALSE),0)</f>
        <v>bichtram89dn@gmail.com</v>
      </c>
    </row>
    <row r="128" spans="1:17" s="18" customFormat="1" ht="21" customHeight="1" x14ac:dyDescent="0.25">
      <c r="A128" s="19" t="s">
        <v>22</v>
      </c>
      <c r="B128" s="20">
        <v>126</v>
      </c>
      <c r="C128" s="31" t="s">
        <v>175</v>
      </c>
      <c r="D128" s="22">
        <v>8888150718</v>
      </c>
      <c r="E128" s="23">
        <v>0</v>
      </c>
      <c r="F128" s="23">
        <v>700000</v>
      </c>
      <c r="G128" s="23">
        <v>0</v>
      </c>
      <c r="H128" s="23">
        <v>0</v>
      </c>
      <c r="I128" s="23">
        <v>6318000</v>
      </c>
      <c r="J128" s="23">
        <v>7020000</v>
      </c>
      <c r="K128" s="24">
        <f t="shared" si="3"/>
        <v>14038000</v>
      </c>
      <c r="L128" s="23">
        <v>737100</v>
      </c>
      <c r="M128" s="24">
        <v>15500000</v>
      </c>
      <c r="N128" s="24">
        <f t="shared" si="4"/>
        <v>-2199100</v>
      </c>
      <c r="O128" s="80">
        <f t="shared" si="5"/>
        <v>0</v>
      </c>
      <c r="P128" s="18" t="s">
        <v>574</v>
      </c>
      <c r="Q128" s="18" t="str">
        <f>IFERROR(VLOOKUP(D128,'[1]TT CÁ NHÂN'!$E$3:$F$407,2,FALSE),0)</f>
        <v>bslehang1981@gmail.com</v>
      </c>
    </row>
    <row r="129" spans="1:17" s="18" customFormat="1" ht="21" customHeight="1" x14ac:dyDescent="0.25">
      <c r="A129" s="50" t="s">
        <v>25</v>
      </c>
      <c r="B129" s="20">
        <v>127</v>
      </c>
      <c r="C129" s="44" t="s">
        <v>176</v>
      </c>
      <c r="D129" s="45">
        <v>5601958557</v>
      </c>
      <c r="E129" s="23">
        <v>0</v>
      </c>
      <c r="F129" s="23">
        <v>700000</v>
      </c>
      <c r="G129" s="23">
        <v>0</v>
      </c>
      <c r="H129" s="23">
        <v>0</v>
      </c>
      <c r="I129" s="23">
        <v>5623020</v>
      </c>
      <c r="J129" s="23">
        <v>6247800</v>
      </c>
      <c r="K129" s="24">
        <f t="shared" si="3"/>
        <v>12570820</v>
      </c>
      <c r="L129" s="23">
        <v>656019</v>
      </c>
      <c r="M129" s="24">
        <v>21700000</v>
      </c>
      <c r="N129" s="24">
        <f t="shared" si="4"/>
        <v>-9785199</v>
      </c>
      <c r="O129" s="80">
        <f t="shared" si="5"/>
        <v>0</v>
      </c>
      <c r="P129" s="18" t="s">
        <v>839</v>
      </c>
      <c r="Q129" s="18" t="str">
        <f>IFERROR(VLOOKUP(D129,'[1]TT CÁ NHÂN'!$E$3:$F$407,2,FALSE),0)</f>
        <v>hoainhu1071995@gmail.com</v>
      </c>
    </row>
    <row r="130" spans="1:17" s="18" customFormat="1" ht="21" customHeight="1" x14ac:dyDescent="0.25">
      <c r="A130" s="19" t="s">
        <v>25</v>
      </c>
      <c r="B130" s="20">
        <v>128</v>
      </c>
      <c r="C130" s="21" t="s">
        <v>177</v>
      </c>
      <c r="D130" s="22">
        <v>8803379224</v>
      </c>
      <c r="E130" s="23">
        <v>0</v>
      </c>
      <c r="F130" s="23">
        <v>700000</v>
      </c>
      <c r="G130" s="23">
        <v>0</v>
      </c>
      <c r="H130" s="23">
        <v>0</v>
      </c>
      <c r="I130" s="23">
        <v>1874340</v>
      </c>
      <c r="J130" s="23">
        <v>6247800</v>
      </c>
      <c r="K130" s="24">
        <f t="shared" si="3"/>
        <v>8822140</v>
      </c>
      <c r="L130" s="23">
        <v>656019</v>
      </c>
      <c r="M130" s="24">
        <v>27900000</v>
      </c>
      <c r="N130" s="24">
        <f t="shared" si="4"/>
        <v>-19733879</v>
      </c>
      <c r="O130" s="80">
        <f t="shared" si="5"/>
        <v>0</v>
      </c>
      <c r="P130" s="18" t="s">
        <v>575</v>
      </c>
      <c r="Q130" s="18" t="str">
        <f>IFERROR(VLOOKUP(D130,'[1]TT CÁ NHÂN'!$E$3:$F$407,2,FALSE),0)</f>
        <v>Lethilanh692@gmail.com</v>
      </c>
    </row>
    <row r="131" spans="1:17" s="18" customFormat="1" ht="21" customHeight="1" x14ac:dyDescent="0.25">
      <c r="A131" s="19" t="s">
        <v>102</v>
      </c>
      <c r="B131" s="20">
        <v>129</v>
      </c>
      <c r="C131" s="26" t="s">
        <v>178</v>
      </c>
      <c r="D131" s="27">
        <v>5611148531</v>
      </c>
      <c r="E131" s="23">
        <v>0</v>
      </c>
      <c r="F131" s="23">
        <v>700000</v>
      </c>
      <c r="G131" s="23">
        <v>0</v>
      </c>
      <c r="H131" s="23">
        <v>0</v>
      </c>
      <c r="I131" s="23">
        <v>0</v>
      </c>
      <c r="J131" s="23">
        <v>7020000</v>
      </c>
      <c r="K131" s="24">
        <f t="shared" ref="K131:K194" si="6">SUM(E131:J131)</f>
        <v>7720000</v>
      </c>
      <c r="L131" s="23">
        <v>737100</v>
      </c>
      <c r="M131" s="24">
        <v>21700000</v>
      </c>
      <c r="N131" s="24">
        <f t="shared" si="4"/>
        <v>-14717100</v>
      </c>
      <c r="O131" s="80">
        <f t="shared" si="5"/>
        <v>0</v>
      </c>
      <c r="P131" s="18" t="s">
        <v>576</v>
      </c>
      <c r="Q131" s="18" t="str">
        <f>IFERROR(VLOOKUP(D131,'[1]TT CÁ NHÂN'!$E$3:$F$407,2,FALSE),0)</f>
        <v>Menlethi1992@gmail.com</v>
      </c>
    </row>
    <row r="132" spans="1:17" s="18" customFormat="1" ht="21" customHeight="1" x14ac:dyDescent="0.25">
      <c r="A132" s="19" t="s">
        <v>55</v>
      </c>
      <c r="B132" s="20">
        <v>130</v>
      </c>
      <c r="C132" s="26" t="s">
        <v>179</v>
      </c>
      <c r="D132" s="27">
        <v>5611151432</v>
      </c>
      <c r="E132" s="23">
        <v>0</v>
      </c>
      <c r="F132" s="23">
        <v>700000</v>
      </c>
      <c r="G132" s="23">
        <v>0</v>
      </c>
      <c r="H132" s="23">
        <v>0</v>
      </c>
      <c r="I132" s="23">
        <v>9097920</v>
      </c>
      <c r="J132" s="23">
        <v>10108800</v>
      </c>
      <c r="K132" s="24">
        <f t="shared" si="6"/>
        <v>19906720</v>
      </c>
      <c r="L132" s="23">
        <v>1061424</v>
      </c>
      <c r="M132" s="24">
        <v>40300000</v>
      </c>
      <c r="N132" s="24">
        <f t="shared" ref="N132:N195" si="7">K132-L132-M132</f>
        <v>-21454704</v>
      </c>
      <c r="O132" s="80">
        <f t="shared" ref="O132:O195" si="8">ROUND(IF(N132&gt;100000000,N132*35%-14500000,IF(N132&gt;60000000,N132*30%-9500000,IF(N132&gt;30000000,N132*20%-3500000,IF(N132&gt;10000000,N132*10%-500000,IF(N132&gt;0,N132*5%,0))))),-3)</f>
        <v>0</v>
      </c>
      <c r="P132" s="18" t="s">
        <v>577</v>
      </c>
      <c r="Q132" s="18" t="str">
        <f>IFERROR(VLOOKUP(D132,'[1]TT CÁ NHÂN'!$E$3:$F$407,2,FALSE),0)</f>
        <v>lethimydung5@gmail.com</v>
      </c>
    </row>
    <row r="133" spans="1:17" s="18" customFormat="1" ht="21" customHeight="1" x14ac:dyDescent="0.25">
      <c r="A133" s="19" t="s">
        <v>50</v>
      </c>
      <c r="B133" s="20">
        <v>131</v>
      </c>
      <c r="C133" s="30" t="s">
        <v>180</v>
      </c>
      <c r="D133" s="22">
        <v>5623454912</v>
      </c>
      <c r="E133" s="23">
        <v>222000</v>
      </c>
      <c r="F133" s="23">
        <v>700000</v>
      </c>
      <c r="G133" s="23">
        <v>0</v>
      </c>
      <c r="H133" s="23">
        <v>0</v>
      </c>
      <c r="I133" s="23">
        <v>4500000</v>
      </c>
      <c r="J133" s="23">
        <v>4820400</v>
      </c>
      <c r="K133" s="24">
        <f t="shared" si="6"/>
        <v>10242400</v>
      </c>
      <c r="L133" s="23">
        <v>506142</v>
      </c>
      <c r="M133" s="24">
        <v>15500000</v>
      </c>
      <c r="N133" s="24">
        <f t="shared" si="7"/>
        <v>-5763742</v>
      </c>
      <c r="O133" s="80">
        <f t="shared" si="8"/>
        <v>0</v>
      </c>
      <c r="P133" s="18" t="s">
        <v>578</v>
      </c>
      <c r="Q133" s="18" t="str">
        <f>IFERROR(VLOOKUP(D133,'[1]TT CÁ NHÂN'!$E$3:$F$407,2,FALSE),0)</f>
        <v>lethimyhanh16102038@gmail.com</v>
      </c>
    </row>
    <row r="134" spans="1:17" s="18" customFormat="1" ht="21" customHeight="1" x14ac:dyDescent="0.25">
      <c r="A134" s="19" t="s">
        <v>22</v>
      </c>
      <c r="B134" s="20">
        <v>132</v>
      </c>
      <c r="C134" s="31" t="s">
        <v>181</v>
      </c>
      <c r="D134" s="22">
        <v>8833375730</v>
      </c>
      <c r="E134" s="23">
        <v>0</v>
      </c>
      <c r="F134" s="23">
        <v>700000</v>
      </c>
      <c r="G134" s="23">
        <v>0</v>
      </c>
      <c r="H134" s="23">
        <v>0</v>
      </c>
      <c r="I134" s="23">
        <v>8402940</v>
      </c>
      <c r="J134" s="23">
        <v>9336600</v>
      </c>
      <c r="K134" s="24">
        <f t="shared" si="6"/>
        <v>18439540</v>
      </c>
      <c r="L134" s="23">
        <v>980343</v>
      </c>
      <c r="M134" s="24">
        <v>21700000</v>
      </c>
      <c r="N134" s="24">
        <f t="shared" si="7"/>
        <v>-4240803</v>
      </c>
      <c r="O134" s="80">
        <f t="shared" si="8"/>
        <v>0</v>
      </c>
      <c r="P134" s="18" t="s">
        <v>579</v>
      </c>
      <c r="Q134" s="18" t="str">
        <f>IFERROR(VLOOKUP(D134,'[1]TT CÁ NHÂN'!$E$3:$F$407,2,FALSE),0)</f>
        <v>myloi010383@gmail.com</v>
      </c>
    </row>
    <row r="135" spans="1:17" s="18" customFormat="1" ht="21" customHeight="1" x14ac:dyDescent="0.25">
      <c r="A135" s="19" t="s">
        <v>102</v>
      </c>
      <c r="B135" s="20">
        <v>133</v>
      </c>
      <c r="C135" s="26" t="s">
        <v>182</v>
      </c>
      <c r="D135" s="27">
        <v>5610228458</v>
      </c>
      <c r="E135" s="23">
        <v>480000</v>
      </c>
      <c r="F135" s="23">
        <v>700000</v>
      </c>
      <c r="G135" s="23">
        <v>0</v>
      </c>
      <c r="H135" s="23">
        <v>0</v>
      </c>
      <c r="I135" s="23">
        <v>9097920</v>
      </c>
      <c r="J135" s="23">
        <v>10108800</v>
      </c>
      <c r="K135" s="24">
        <f t="shared" si="6"/>
        <v>20386720</v>
      </c>
      <c r="L135" s="23">
        <v>1061424</v>
      </c>
      <c r="M135" s="24">
        <v>15500000</v>
      </c>
      <c r="N135" s="24">
        <f t="shared" si="7"/>
        <v>3825296</v>
      </c>
      <c r="O135" s="80">
        <f t="shared" si="8"/>
        <v>191000</v>
      </c>
      <c r="P135" s="18" t="s">
        <v>580</v>
      </c>
      <c r="Q135" s="18" t="str">
        <f>IFERROR(VLOOKUP(D135,'[1]TT CÁ NHÂN'!$E$3:$F$407,2,FALSE),0)</f>
        <v>lethimyphuong315@gmail.com</v>
      </c>
    </row>
    <row r="136" spans="1:17" s="18" customFormat="1" ht="21" customHeight="1" x14ac:dyDescent="0.25">
      <c r="A136" s="19" t="s">
        <v>64</v>
      </c>
      <c r="B136" s="20">
        <v>134</v>
      </c>
      <c r="C136" s="25" t="s">
        <v>183</v>
      </c>
      <c r="D136" s="22">
        <v>8800561111</v>
      </c>
      <c r="E136" s="23">
        <v>0</v>
      </c>
      <c r="F136" s="23">
        <v>700000</v>
      </c>
      <c r="G136" s="23">
        <v>0</v>
      </c>
      <c r="H136" s="23">
        <v>0</v>
      </c>
      <c r="I136" s="23">
        <v>7012980</v>
      </c>
      <c r="J136" s="23">
        <v>7792200</v>
      </c>
      <c r="K136" s="24">
        <f t="shared" si="6"/>
        <v>15505180</v>
      </c>
      <c r="L136" s="23">
        <v>818181</v>
      </c>
      <c r="M136" s="24">
        <v>27900000</v>
      </c>
      <c r="N136" s="24">
        <f t="shared" si="7"/>
        <v>-13213001</v>
      </c>
      <c r="O136" s="80">
        <f t="shared" si="8"/>
        <v>0</v>
      </c>
      <c r="P136" s="18" t="s">
        <v>581</v>
      </c>
      <c r="Q136" s="18" t="str">
        <f>IFERROR(VLOOKUP(D136,'[1]TT CÁ NHÂN'!$E$3:$F$407,2,FALSE),0)</f>
        <v>Ngapharmacist89@gmail</v>
      </c>
    </row>
    <row r="137" spans="1:17" s="18" customFormat="1" ht="21" customHeight="1" x14ac:dyDescent="0.25">
      <c r="A137" s="19" t="s">
        <v>44</v>
      </c>
      <c r="B137" s="20">
        <v>135</v>
      </c>
      <c r="C137" s="26" t="s">
        <v>184</v>
      </c>
      <c r="D137" s="27">
        <v>5610702943</v>
      </c>
      <c r="E137" s="23">
        <v>0</v>
      </c>
      <c r="F137" s="23">
        <v>700000</v>
      </c>
      <c r="G137" s="23">
        <v>0</v>
      </c>
      <c r="H137" s="23">
        <v>0</v>
      </c>
      <c r="I137" s="23">
        <v>6444360</v>
      </c>
      <c r="J137" s="23">
        <v>7160400</v>
      </c>
      <c r="K137" s="24">
        <f t="shared" si="6"/>
        <v>14304760</v>
      </c>
      <c r="L137" s="23">
        <v>751842</v>
      </c>
      <c r="M137" s="24">
        <v>21700000</v>
      </c>
      <c r="N137" s="24">
        <f t="shared" si="7"/>
        <v>-8147082</v>
      </c>
      <c r="O137" s="80">
        <f t="shared" si="8"/>
        <v>0</v>
      </c>
      <c r="P137" s="18" t="s">
        <v>837</v>
      </c>
      <c r="Q137" s="18" t="str">
        <f>IFERROR(VLOOKUP(D137,'[1]TT CÁ NHÂN'!$E$3:$F$407,2,FALSE),0)</f>
        <v>phuongthaolethi1892@gmail.com</v>
      </c>
    </row>
    <row r="138" spans="1:17" s="18" customFormat="1" ht="21" customHeight="1" x14ac:dyDescent="0.25">
      <c r="A138" s="50" t="s">
        <v>61</v>
      </c>
      <c r="B138" s="20">
        <v>136</v>
      </c>
      <c r="C138" s="44" t="s">
        <v>185</v>
      </c>
      <c r="D138" s="45">
        <v>5601914975</v>
      </c>
      <c r="E138" s="23">
        <v>0</v>
      </c>
      <c r="F138" s="23">
        <v>700000</v>
      </c>
      <c r="G138" s="23">
        <v>0</v>
      </c>
      <c r="H138" s="23">
        <v>0</v>
      </c>
      <c r="I138" s="23">
        <v>4928040</v>
      </c>
      <c r="J138" s="23">
        <v>5475600</v>
      </c>
      <c r="K138" s="24">
        <f t="shared" si="6"/>
        <v>11103640</v>
      </c>
      <c r="L138" s="23">
        <v>574938</v>
      </c>
      <c r="M138" s="24">
        <v>15500000</v>
      </c>
      <c r="N138" s="24">
        <f t="shared" si="7"/>
        <v>-4971298</v>
      </c>
      <c r="O138" s="80">
        <f t="shared" si="8"/>
        <v>0</v>
      </c>
      <c r="P138" s="18" t="s">
        <v>838</v>
      </c>
      <c r="Q138" s="18" t="str">
        <f>IFERROR(VLOOKUP(D138,'[1]TT CÁ NHÂN'!$E$3:$F$407,2,FALSE),0)</f>
        <v>uyenltp@danang.gov.vn</v>
      </c>
    </row>
    <row r="139" spans="1:17" s="18" customFormat="1" ht="21" customHeight="1" x14ac:dyDescent="0.25">
      <c r="A139" s="19" t="s">
        <v>50</v>
      </c>
      <c r="B139" s="20">
        <v>137</v>
      </c>
      <c r="C139" s="26" t="s">
        <v>186</v>
      </c>
      <c r="D139" s="27">
        <v>5610413458</v>
      </c>
      <c r="E139" s="23">
        <v>601000</v>
      </c>
      <c r="F139" s="23">
        <v>700000</v>
      </c>
      <c r="G139" s="23">
        <v>0</v>
      </c>
      <c r="H139" s="23">
        <v>0</v>
      </c>
      <c r="I139" s="23">
        <v>7012980</v>
      </c>
      <c r="J139" s="23">
        <v>7792200</v>
      </c>
      <c r="K139" s="24">
        <f t="shared" si="6"/>
        <v>16106180</v>
      </c>
      <c r="L139" s="23">
        <v>818181</v>
      </c>
      <c r="M139" s="24">
        <v>15500000</v>
      </c>
      <c r="N139" s="24">
        <f t="shared" si="7"/>
        <v>-212001</v>
      </c>
      <c r="O139" s="80">
        <f t="shared" si="8"/>
        <v>0</v>
      </c>
      <c r="P139" s="18" t="s">
        <v>582</v>
      </c>
      <c r="Q139" s="18" t="str">
        <f>IFERROR(VLOOKUP(D139,'[1]TT CÁ NHÂN'!$E$3:$F$407,2,FALSE),0)</f>
        <v>nalehoa@gmail.com</v>
      </c>
    </row>
    <row r="140" spans="1:17" s="18" customFormat="1" ht="21" customHeight="1" x14ac:dyDescent="0.25">
      <c r="A140" s="19" t="s">
        <v>50</v>
      </c>
      <c r="B140" s="20">
        <v>138</v>
      </c>
      <c r="C140" s="26" t="s">
        <v>187</v>
      </c>
      <c r="D140" s="27">
        <v>5611150332</v>
      </c>
      <c r="E140" s="23">
        <v>0</v>
      </c>
      <c r="F140" s="23">
        <v>700000</v>
      </c>
      <c r="G140" s="23">
        <v>0</v>
      </c>
      <c r="H140" s="23">
        <v>3000000</v>
      </c>
      <c r="I140" s="23">
        <v>7686900</v>
      </c>
      <c r="J140" s="23">
        <v>8541000</v>
      </c>
      <c r="K140" s="24">
        <f t="shared" si="6"/>
        <v>19927900</v>
      </c>
      <c r="L140" s="23">
        <v>896805</v>
      </c>
      <c r="M140" s="24">
        <v>34100000</v>
      </c>
      <c r="N140" s="24">
        <f t="shared" si="7"/>
        <v>-15068905</v>
      </c>
      <c r="O140" s="80">
        <f t="shared" si="8"/>
        <v>0</v>
      </c>
      <c r="P140" s="18" t="s">
        <v>583</v>
      </c>
      <c r="Q140" s="18" t="str">
        <f>IFERROR(VLOOKUP(D140,'[1]TT CÁ NHÂN'!$E$3:$F$407,2,FALSE),0)</f>
        <v>loanle21021986@gmail.com</v>
      </c>
    </row>
    <row r="141" spans="1:17" s="18" customFormat="1" ht="21" customHeight="1" x14ac:dyDescent="0.25">
      <c r="A141" s="19" t="s">
        <v>71</v>
      </c>
      <c r="B141" s="20">
        <v>139</v>
      </c>
      <c r="C141" s="26" t="s">
        <v>188</v>
      </c>
      <c r="D141" s="27">
        <v>5611149118</v>
      </c>
      <c r="E141" s="23">
        <v>0</v>
      </c>
      <c r="F141" s="23">
        <v>700000</v>
      </c>
      <c r="G141" s="23">
        <v>0</v>
      </c>
      <c r="H141" s="23">
        <v>0</v>
      </c>
      <c r="I141" s="23">
        <v>7012980</v>
      </c>
      <c r="J141" s="23">
        <v>7792200</v>
      </c>
      <c r="K141" s="24">
        <f t="shared" si="6"/>
        <v>15505180</v>
      </c>
      <c r="L141" s="23">
        <v>818181</v>
      </c>
      <c r="M141" s="24">
        <v>21700000</v>
      </c>
      <c r="N141" s="24">
        <f t="shared" si="7"/>
        <v>-7013001</v>
      </c>
      <c r="O141" s="80">
        <f t="shared" si="8"/>
        <v>0</v>
      </c>
      <c r="P141" s="18" t="s">
        <v>584</v>
      </c>
      <c r="Q141" s="18" t="str">
        <f>IFERROR(VLOOKUP(D141,'[1]TT CÁ NHÂN'!$E$3:$F$407,2,FALSE),0)</f>
        <v>lengaxn@gmail.com</v>
      </c>
    </row>
    <row r="142" spans="1:17" s="18" customFormat="1" ht="21" customHeight="1" x14ac:dyDescent="0.25">
      <c r="A142" s="19" t="s">
        <v>64</v>
      </c>
      <c r="B142" s="20">
        <v>140</v>
      </c>
      <c r="C142" s="40" t="s">
        <v>189</v>
      </c>
      <c r="D142" s="22">
        <v>8883373273</v>
      </c>
      <c r="E142" s="23">
        <v>0</v>
      </c>
      <c r="F142" s="23">
        <v>700000</v>
      </c>
      <c r="G142" s="23">
        <v>0</v>
      </c>
      <c r="H142" s="23">
        <v>0</v>
      </c>
      <c r="I142" s="23">
        <v>8992620</v>
      </c>
      <c r="J142" s="23">
        <v>9991800</v>
      </c>
      <c r="K142" s="24">
        <f t="shared" si="6"/>
        <v>19684420</v>
      </c>
      <c r="L142" s="23">
        <v>1049139</v>
      </c>
      <c r="M142" s="24">
        <v>34100000</v>
      </c>
      <c r="N142" s="24">
        <f t="shared" si="7"/>
        <v>-15464719</v>
      </c>
      <c r="O142" s="80">
        <f t="shared" si="8"/>
        <v>0</v>
      </c>
      <c r="P142" s="18" t="s">
        <v>585</v>
      </c>
      <c r="Q142" s="18" t="str">
        <f>IFERROR(VLOOKUP(D142,'[1]TT CÁ NHÂN'!$E$3:$F$407,2,FALSE),0)</f>
        <v>thuydtqnam@gmail.com</v>
      </c>
    </row>
    <row r="143" spans="1:17" s="18" customFormat="1" ht="21" customHeight="1" x14ac:dyDescent="0.25">
      <c r="A143" s="19" t="s">
        <v>44</v>
      </c>
      <c r="B143" s="20">
        <v>141</v>
      </c>
      <c r="C143" s="26" t="s">
        <v>190</v>
      </c>
      <c r="D143" s="27">
        <v>8837399104</v>
      </c>
      <c r="E143" s="23">
        <v>0</v>
      </c>
      <c r="F143" s="23">
        <v>700000</v>
      </c>
      <c r="G143" s="23">
        <v>0</v>
      </c>
      <c r="H143" s="23">
        <v>0</v>
      </c>
      <c r="I143" s="23">
        <v>7707960</v>
      </c>
      <c r="J143" s="23">
        <v>8564400</v>
      </c>
      <c r="K143" s="24">
        <f t="shared" si="6"/>
        <v>16972360</v>
      </c>
      <c r="L143" s="23">
        <v>899262</v>
      </c>
      <c r="M143" s="24">
        <v>40300000</v>
      </c>
      <c r="N143" s="24">
        <f t="shared" si="7"/>
        <v>-24226902</v>
      </c>
      <c r="O143" s="80">
        <f t="shared" si="8"/>
        <v>0</v>
      </c>
      <c r="P143" s="18" t="s">
        <v>586</v>
      </c>
      <c r="Q143" s="18" t="str">
        <f>IFERROR(VLOOKUP(D143,'[1]TT CÁ NHÂN'!$E$3:$F$407,2,FALSE),0)</f>
        <v>hienltt11@danang.gov.vn</v>
      </c>
    </row>
    <row r="144" spans="1:17" s="18" customFormat="1" ht="21" customHeight="1" x14ac:dyDescent="0.25">
      <c r="A144" s="19" t="s">
        <v>157</v>
      </c>
      <c r="B144" s="20">
        <v>142</v>
      </c>
      <c r="C144" s="26" t="s">
        <v>191</v>
      </c>
      <c r="D144" s="27">
        <v>5611148328</v>
      </c>
      <c r="E144" s="23">
        <v>0</v>
      </c>
      <c r="F144" s="23">
        <v>700000</v>
      </c>
      <c r="G144" s="23">
        <v>0</v>
      </c>
      <c r="H144" s="23">
        <v>0</v>
      </c>
      <c r="I144" s="23">
        <v>7686900</v>
      </c>
      <c r="J144" s="23">
        <v>8541000</v>
      </c>
      <c r="K144" s="24">
        <f t="shared" si="6"/>
        <v>16927900</v>
      </c>
      <c r="L144" s="23">
        <v>896805</v>
      </c>
      <c r="M144" s="24">
        <v>21700000</v>
      </c>
      <c r="N144" s="24">
        <f t="shared" si="7"/>
        <v>-5668905</v>
      </c>
      <c r="O144" s="80">
        <f t="shared" si="8"/>
        <v>0</v>
      </c>
      <c r="P144" s="18" t="s">
        <v>587</v>
      </c>
      <c r="Q144" s="18" t="str">
        <f>IFERROR(VLOOKUP(D144,'[1]TT CÁ NHÂN'!$E$3:$F$407,2,FALSE),0)</f>
        <v>thulieu.210486@gmail.com</v>
      </c>
    </row>
    <row r="145" spans="1:17" s="18" customFormat="1" ht="21" customHeight="1" x14ac:dyDescent="0.25">
      <c r="A145" s="19" t="s">
        <v>112</v>
      </c>
      <c r="B145" s="20">
        <v>143</v>
      </c>
      <c r="C145" s="25" t="s">
        <v>192</v>
      </c>
      <c r="D145" s="22">
        <v>8833373269</v>
      </c>
      <c r="E145" s="23">
        <v>0</v>
      </c>
      <c r="F145" s="23">
        <v>700000</v>
      </c>
      <c r="G145" s="23">
        <v>0</v>
      </c>
      <c r="H145" s="23">
        <v>0</v>
      </c>
      <c r="I145" s="23">
        <v>7012980</v>
      </c>
      <c r="J145" s="23">
        <v>7792200</v>
      </c>
      <c r="K145" s="24">
        <f t="shared" si="6"/>
        <v>15505180</v>
      </c>
      <c r="L145" s="23">
        <v>818181</v>
      </c>
      <c r="M145" s="24">
        <v>15500000</v>
      </c>
      <c r="N145" s="24">
        <f t="shared" si="7"/>
        <v>-813001</v>
      </c>
      <c r="O145" s="80">
        <f t="shared" si="8"/>
        <v>0</v>
      </c>
      <c r="P145" s="18" t="s">
        <v>588</v>
      </c>
      <c r="Q145" s="18" t="str">
        <f>IFERROR(VLOOKUP(D145,'[1]TT CÁ NHÂN'!$E$3:$F$407,2,FALSE),0)</f>
        <v>thuyan659@gmail.com</v>
      </c>
    </row>
    <row r="146" spans="1:17" s="18" customFormat="1" ht="21" customHeight="1" x14ac:dyDescent="0.25">
      <c r="A146" s="19" t="s">
        <v>44</v>
      </c>
      <c r="B146" s="20">
        <v>144</v>
      </c>
      <c r="C146" s="26" t="s">
        <v>193</v>
      </c>
      <c r="D146" s="27" t="s">
        <v>194</v>
      </c>
      <c r="E146" s="23">
        <v>0</v>
      </c>
      <c r="F146" s="23">
        <v>0</v>
      </c>
      <c r="G146" s="23">
        <v>0</v>
      </c>
      <c r="H146" s="23">
        <v>0</v>
      </c>
      <c r="I146" s="23">
        <v>5623020</v>
      </c>
      <c r="J146" s="23">
        <v>0</v>
      </c>
      <c r="K146" s="24">
        <f t="shared" si="6"/>
        <v>5623020</v>
      </c>
      <c r="L146" s="23">
        <v>0</v>
      </c>
      <c r="M146" s="24">
        <v>15500000</v>
      </c>
      <c r="N146" s="24">
        <f t="shared" si="7"/>
        <v>-9876980</v>
      </c>
      <c r="O146" s="80">
        <f t="shared" si="8"/>
        <v>0</v>
      </c>
      <c r="P146" s="18" t="s">
        <v>589</v>
      </c>
      <c r="Q146" s="18" t="str">
        <f>IFERROR(VLOOKUP(D146,'[1]TT CÁ NHÂN'!$E$3:$F$407,2,FALSE),0)</f>
        <v>lethithuytien.cnsh1995@gmail.com</v>
      </c>
    </row>
    <row r="147" spans="1:17" s="18" customFormat="1" ht="21" customHeight="1" x14ac:dyDescent="0.25">
      <c r="A147" s="19" t="s">
        <v>80</v>
      </c>
      <c r="B147" s="20">
        <v>145</v>
      </c>
      <c r="C147" s="30" t="s">
        <v>195</v>
      </c>
      <c r="D147" s="22">
        <v>8863369419</v>
      </c>
      <c r="E147" s="23">
        <v>0</v>
      </c>
      <c r="F147" s="23">
        <v>700000</v>
      </c>
      <c r="G147" s="23">
        <v>0</v>
      </c>
      <c r="H147" s="23">
        <v>0</v>
      </c>
      <c r="I147" s="23">
        <v>4928040</v>
      </c>
      <c r="J147" s="23">
        <v>5475600</v>
      </c>
      <c r="K147" s="24">
        <f t="shared" si="6"/>
        <v>11103640</v>
      </c>
      <c r="L147" s="23">
        <v>574938</v>
      </c>
      <c r="M147" s="24">
        <v>15500000</v>
      </c>
      <c r="N147" s="24">
        <f t="shared" si="7"/>
        <v>-4971298</v>
      </c>
      <c r="O147" s="80">
        <f t="shared" si="8"/>
        <v>0</v>
      </c>
      <c r="P147" s="18" t="s">
        <v>590</v>
      </c>
      <c r="Q147" s="18" t="str">
        <f>IFERROR(VLOOKUP(D147,'[1]TT CÁ NHÂN'!$E$3:$F$407,2,FALSE),0)</f>
        <v>lethivanbsyhdp@gmail.com</v>
      </c>
    </row>
    <row r="148" spans="1:17" s="18" customFormat="1" ht="21" customHeight="1" x14ac:dyDescent="0.25">
      <c r="A148" s="19" t="s">
        <v>102</v>
      </c>
      <c r="B148" s="20">
        <v>146</v>
      </c>
      <c r="C148" s="26" t="s">
        <v>196</v>
      </c>
      <c r="D148" s="27">
        <v>5611149835</v>
      </c>
      <c r="E148" s="23">
        <v>0</v>
      </c>
      <c r="F148" s="23">
        <v>700000</v>
      </c>
      <c r="G148" s="23">
        <v>0</v>
      </c>
      <c r="H148" s="23">
        <v>0</v>
      </c>
      <c r="I148" s="23">
        <v>7707960</v>
      </c>
      <c r="J148" s="23">
        <v>8564400</v>
      </c>
      <c r="K148" s="24">
        <f t="shared" si="6"/>
        <v>16972360</v>
      </c>
      <c r="L148" s="23">
        <v>899262</v>
      </c>
      <c r="M148" s="24">
        <v>21700000</v>
      </c>
      <c r="N148" s="24">
        <f t="shared" si="7"/>
        <v>-5626902</v>
      </c>
      <c r="O148" s="80">
        <f t="shared" si="8"/>
        <v>0</v>
      </c>
      <c r="P148" s="18" t="s">
        <v>591</v>
      </c>
      <c r="Q148" s="18" t="str">
        <f>IFERROR(VLOOKUP(D148,'[1]TT CÁ NHÂN'!$E$3:$F$407,2,FALSE),0)</f>
        <v>lethivankieu88@gmail.com</v>
      </c>
    </row>
    <row r="149" spans="1:17" s="18" customFormat="1" ht="21" customHeight="1" x14ac:dyDescent="0.25">
      <c r="A149" s="19" t="s">
        <v>55</v>
      </c>
      <c r="B149" s="20">
        <v>147</v>
      </c>
      <c r="C149" s="25" t="s">
        <v>197</v>
      </c>
      <c r="D149" s="22">
        <v>8893373267</v>
      </c>
      <c r="E149" s="23">
        <v>0</v>
      </c>
      <c r="F149" s="23">
        <v>700000</v>
      </c>
      <c r="G149" s="23">
        <v>0</v>
      </c>
      <c r="H149" s="23">
        <v>0</v>
      </c>
      <c r="I149" s="23">
        <v>6318000</v>
      </c>
      <c r="J149" s="23">
        <v>7020000</v>
      </c>
      <c r="K149" s="24">
        <f t="shared" si="6"/>
        <v>14038000</v>
      </c>
      <c r="L149" s="23">
        <v>737100</v>
      </c>
      <c r="M149" s="24">
        <v>27900000</v>
      </c>
      <c r="N149" s="24">
        <f t="shared" si="7"/>
        <v>-14599100</v>
      </c>
      <c r="O149" s="80">
        <f t="shared" si="8"/>
        <v>0</v>
      </c>
      <c r="P149" s="18" t="s">
        <v>592</v>
      </c>
      <c r="Q149" s="18" t="str">
        <f>IFERROR(VLOOKUP(D149,'[1]TT CÁ NHÂN'!$E$3:$F$407,2,FALSE),0)</f>
        <v xml:space="preserve">lethivy169@gmail.com </v>
      </c>
    </row>
    <row r="150" spans="1:17" s="18" customFormat="1" ht="21" customHeight="1" x14ac:dyDescent="0.25">
      <c r="A150" s="19" t="s">
        <v>50</v>
      </c>
      <c r="B150" s="20">
        <v>148</v>
      </c>
      <c r="C150" s="25" t="s">
        <v>198</v>
      </c>
      <c r="D150" s="22">
        <v>8893369422</v>
      </c>
      <c r="E150" s="23">
        <v>111000</v>
      </c>
      <c r="F150" s="23">
        <v>700000</v>
      </c>
      <c r="G150" s="23">
        <v>0</v>
      </c>
      <c r="H150" s="23">
        <v>0</v>
      </c>
      <c r="I150" s="23">
        <v>1642680</v>
      </c>
      <c r="J150" s="23">
        <v>5475600</v>
      </c>
      <c r="K150" s="24">
        <f t="shared" si="6"/>
        <v>7929280</v>
      </c>
      <c r="L150" s="23">
        <v>574938</v>
      </c>
      <c r="M150" s="24">
        <v>15500000</v>
      </c>
      <c r="N150" s="24">
        <f t="shared" si="7"/>
        <v>-8145658</v>
      </c>
      <c r="O150" s="80">
        <f t="shared" si="8"/>
        <v>0</v>
      </c>
      <c r="P150" s="18" t="s">
        <v>593</v>
      </c>
      <c r="Q150" s="18" t="str">
        <f>IFERROR(VLOOKUP(D150,'[1]TT CÁ NHÂN'!$E$3:$F$407,2,FALSE),0)</f>
        <v>lttac1995@gamil.com</v>
      </c>
    </row>
    <row r="151" spans="1:17" s="18" customFormat="1" ht="21" customHeight="1" x14ac:dyDescent="0.25">
      <c r="A151" s="19" t="s">
        <v>38</v>
      </c>
      <c r="B151" s="20">
        <v>149</v>
      </c>
      <c r="C151" s="30" t="s">
        <v>199</v>
      </c>
      <c r="D151" s="22">
        <v>5624757836</v>
      </c>
      <c r="E151" s="23">
        <v>0</v>
      </c>
      <c r="F151" s="23">
        <v>700000</v>
      </c>
      <c r="G151" s="23">
        <v>0</v>
      </c>
      <c r="H151" s="23">
        <v>0</v>
      </c>
      <c r="I151" s="23">
        <v>6318000</v>
      </c>
      <c r="J151" s="23">
        <v>7020000</v>
      </c>
      <c r="K151" s="24">
        <f t="shared" si="6"/>
        <v>14038000</v>
      </c>
      <c r="L151" s="23">
        <v>737100</v>
      </c>
      <c r="M151" s="24">
        <v>21700000</v>
      </c>
      <c r="N151" s="24">
        <f t="shared" si="7"/>
        <v>-8399100</v>
      </c>
      <c r="O151" s="80">
        <f t="shared" si="8"/>
        <v>0</v>
      </c>
      <c r="P151" s="18" t="s">
        <v>594</v>
      </c>
      <c r="Q151" s="18" t="str">
        <f>IFERROR(VLOOKUP(D151,'[1]TT CÁ NHÂN'!$E$3:$F$407,2,FALSE),0)</f>
        <v>trunghieumed@gmail.com</v>
      </c>
    </row>
    <row r="152" spans="1:17" s="18" customFormat="1" ht="21" customHeight="1" x14ac:dyDescent="0.25">
      <c r="A152" s="19" t="s">
        <v>27</v>
      </c>
      <c r="B152" s="20">
        <v>150</v>
      </c>
      <c r="C152" s="41" t="s">
        <v>200</v>
      </c>
      <c r="D152" s="22">
        <v>5622241050</v>
      </c>
      <c r="E152" s="23">
        <v>0</v>
      </c>
      <c r="F152" s="23">
        <v>700000</v>
      </c>
      <c r="G152" s="23">
        <v>0</v>
      </c>
      <c r="H152" s="23">
        <v>0</v>
      </c>
      <c r="I152" s="23">
        <v>11012274</v>
      </c>
      <c r="J152" s="23">
        <v>12352392</v>
      </c>
      <c r="K152" s="24">
        <f t="shared" si="6"/>
        <v>24064666</v>
      </c>
      <c r="L152" s="23">
        <v>1297001</v>
      </c>
      <c r="M152" s="24">
        <v>21700000</v>
      </c>
      <c r="N152" s="24">
        <f t="shared" si="7"/>
        <v>1067665</v>
      </c>
      <c r="O152" s="80">
        <f t="shared" si="8"/>
        <v>53000</v>
      </c>
      <c r="P152" s="18" t="s">
        <v>595</v>
      </c>
      <c r="Q152" s="18" t="str">
        <f>IFERROR(VLOOKUP(D152,'[1]TT CÁ NHÂN'!$E$3:$F$407,2,FALSE),0)</f>
        <v>tamnhan27@gmail.com</v>
      </c>
    </row>
    <row r="153" spans="1:17" s="18" customFormat="1" ht="21" customHeight="1" x14ac:dyDescent="0.25">
      <c r="A153" s="19" t="s">
        <v>22</v>
      </c>
      <c r="B153" s="20">
        <v>151</v>
      </c>
      <c r="C153" s="26" t="s">
        <v>201</v>
      </c>
      <c r="D153" s="27">
        <v>5610225787</v>
      </c>
      <c r="E153" s="23">
        <v>0</v>
      </c>
      <c r="F153" s="23">
        <v>700000</v>
      </c>
      <c r="G153" s="23">
        <v>0</v>
      </c>
      <c r="H153" s="23">
        <v>0</v>
      </c>
      <c r="I153" s="23">
        <v>0</v>
      </c>
      <c r="J153" s="23">
        <v>7300800</v>
      </c>
      <c r="K153" s="24">
        <f t="shared" si="6"/>
        <v>8000800</v>
      </c>
      <c r="L153" s="23">
        <v>766584</v>
      </c>
      <c r="M153" s="24">
        <v>27900000</v>
      </c>
      <c r="N153" s="24">
        <f t="shared" si="7"/>
        <v>-20665784</v>
      </c>
      <c r="O153" s="80">
        <f t="shared" si="8"/>
        <v>0</v>
      </c>
      <c r="P153" s="18">
        <v>0</v>
      </c>
      <c r="Q153" s="18">
        <f>IFERROR(VLOOKUP(D153,'[1]TT CÁ NHÂN'!$E$3:$F$407,2,FALSE),0)</f>
        <v>0</v>
      </c>
    </row>
    <row r="154" spans="1:17" s="18" customFormat="1" ht="21" customHeight="1" x14ac:dyDescent="0.25">
      <c r="A154" s="19" t="s">
        <v>64</v>
      </c>
      <c r="B154" s="20">
        <v>152</v>
      </c>
      <c r="C154" s="26" t="s">
        <v>202</v>
      </c>
      <c r="D154" s="27">
        <v>5610702970</v>
      </c>
      <c r="E154" s="23">
        <v>0</v>
      </c>
      <c r="F154" s="23">
        <v>700000</v>
      </c>
      <c r="G154" s="23">
        <v>0</v>
      </c>
      <c r="H154" s="23">
        <v>0</v>
      </c>
      <c r="I154" s="23">
        <v>7012980</v>
      </c>
      <c r="J154" s="23">
        <v>7792200</v>
      </c>
      <c r="K154" s="24">
        <f t="shared" si="6"/>
        <v>15505180</v>
      </c>
      <c r="L154" s="23">
        <v>818181</v>
      </c>
      <c r="M154" s="24">
        <v>27900000</v>
      </c>
      <c r="N154" s="24">
        <f t="shared" si="7"/>
        <v>-13213001</v>
      </c>
      <c r="O154" s="80">
        <f t="shared" si="8"/>
        <v>0</v>
      </c>
      <c r="P154" s="18" t="s">
        <v>596</v>
      </c>
      <c r="Q154" s="18" t="str">
        <f>IFERROR(VLOOKUP(D154,'[1]TT CÁ NHÂN'!$E$3:$F$407,2,FALSE),0)</f>
        <v>locleboy88@gmail.com</v>
      </c>
    </row>
    <row r="155" spans="1:17" s="18" customFormat="1" ht="21" customHeight="1" x14ac:dyDescent="0.25">
      <c r="A155" s="19" t="s">
        <v>64</v>
      </c>
      <c r="B155" s="20">
        <v>153</v>
      </c>
      <c r="C155" s="26" t="s">
        <v>203</v>
      </c>
      <c r="D155" s="27">
        <v>5611149899</v>
      </c>
      <c r="E155" s="23">
        <v>0</v>
      </c>
      <c r="F155" s="23">
        <v>700000</v>
      </c>
      <c r="G155" s="23">
        <v>0</v>
      </c>
      <c r="H155" s="23">
        <v>0</v>
      </c>
      <c r="I155" s="23">
        <v>7707960</v>
      </c>
      <c r="J155" s="23">
        <v>8564400</v>
      </c>
      <c r="K155" s="24">
        <f t="shared" si="6"/>
        <v>16972360</v>
      </c>
      <c r="L155" s="23">
        <v>899262</v>
      </c>
      <c r="M155" s="24">
        <v>27900000</v>
      </c>
      <c r="N155" s="24">
        <f t="shared" si="7"/>
        <v>-11826902</v>
      </c>
      <c r="O155" s="80">
        <f t="shared" si="8"/>
        <v>0</v>
      </c>
      <c r="P155" s="18" t="s">
        <v>597</v>
      </c>
      <c r="Q155" s="18" t="str">
        <f>IFERROR(VLOOKUP(D155,'[1]TT CÁ NHÂN'!$E$3:$F$407,2,FALSE),0)</f>
        <v>vanluongthibich5@gmail.com</v>
      </c>
    </row>
    <row r="156" spans="1:17" s="18" customFormat="1" ht="21" customHeight="1" x14ac:dyDescent="0.25">
      <c r="A156" s="19" t="s">
        <v>61</v>
      </c>
      <c r="B156" s="20">
        <v>154</v>
      </c>
      <c r="C156" s="26" t="s">
        <v>204</v>
      </c>
      <c r="D156" s="27">
        <v>5611151177</v>
      </c>
      <c r="E156" s="23">
        <v>0</v>
      </c>
      <c r="F156" s="23">
        <v>700000</v>
      </c>
      <c r="G156" s="23">
        <v>0</v>
      </c>
      <c r="H156" s="23">
        <v>0</v>
      </c>
      <c r="I156" s="23">
        <v>11540880</v>
      </c>
      <c r="J156" s="23">
        <v>12823200</v>
      </c>
      <c r="K156" s="24">
        <f t="shared" si="6"/>
        <v>25064080</v>
      </c>
      <c r="L156" s="23">
        <v>1346436</v>
      </c>
      <c r="M156" s="24">
        <v>21700000</v>
      </c>
      <c r="N156" s="24">
        <f t="shared" si="7"/>
        <v>2017644</v>
      </c>
      <c r="O156" s="80">
        <f t="shared" si="8"/>
        <v>101000</v>
      </c>
      <c r="P156" s="18" t="s">
        <v>598</v>
      </c>
      <c r="Q156" s="18" t="str">
        <f>IFERROR(VLOOKUP(D156,'[1]TT CÁ NHÂN'!$E$3:$F$407,2,FALSE),0)</f>
        <v>luuman1975@gmail.com</v>
      </c>
    </row>
    <row r="157" spans="1:17" s="18" customFormat="1" ht="21" customHeight="1" x14ac:dyDescent="0.25">
      <c r="A157" s="50" t="s">
        <v>50</v>
      </c>
      <c r="B157" s="20">
        <v>155</v>
      </c>
      <c r="C157" s="44" t="s">
        <v>205</v>
      </c>
      <c r="D157" s="45">
        <v>5601640508</v>
      </c>
      <c r="E157" s="23">
        <v>320000</v>
      </c>
      <c r="F157" s="23">
        <v>700000</v>
      </c>
      <c r="G157" s="23">
        <v>0</v>
      </c>
      <c r="H157" s="23">
        <v>3700000</v>
      </c>
      <c r="I157" s="23">
        <v>5623020</v>
      </c>
      <c r="J157" s="23">
        <v>6247800</v>
      </c>
      <c r="K157" s="24">
        <f t="shared" si="6"/>
        <v>16590820</v>
      </c>
      <c r="L157" s="23">
        <v>656019</v>
      </c>
      <c r="M157" s="24">
        <v>21700000</v>
      </c>
      <c r="N157" s="24">
        <f t="shared" si="7"/>
        <v>-5765199</v>
      </c>
      <c r="O157" s="80">
        <f t="shared" si="8"/>
        <v>0</v>
      </c>
      <c r="P157" s="18" t="s">
        <v>836</v>
      </c>
      <c r="Q157" s="18" t="str">
        <f>IFERROR(VLOOKUP(D157,'[1]TT CÁ NHÂN'!$E$3:$F$407,2,FALSE),0)</f>
        <v>maihuong199101@gmail.com</v>
      </c>
    </row>
    <row r="158" spans="1:17" s="18" customFormat="1" ht="21" customHeight="1" x14ac:dyDescent="0.25">
      <c r="A158" s="19" t="s">
        <v>112</v>
      </c>
      <c r="B158" s="20">
        <v>156</v>
      </c>
      <c r="C158" s="30" t="s">
        <v>206</v>
      </c>
      <c r="D158" s="22">
        <v>5601962859</v>
      </c>
      <c r="E158" s="23">
        <v>0</v>
      </c>
      <c r="F158" s="23">
        <v>700000</v>
      </c>
      <c r="G158" s="23">
        <v>0</v>
      </c>
      <c r="H158" s="23">
        <v>0</v>
      </c>
      <c r="I158" s="23">
        <v>0</v>
      </c>
      <c r="J158" s="23">
        <v>5475600</v>
      </c>
      <c r="K158" s="24">
        <f t="shared" si="6"/>
        <v>6175600</v>
      </c>
      <c r="L158" s="23">
        <v>574938</v>
      </c>
      <c r="M158" s="24">
        <v>15500000</v>
      </c>
      <c r="N158" s="24">
        <f t="shared" si="7"/>
        <v>-9899338</v>
      </c>
      <c r="O158" s="80">
        <f t="shared" si="8"/>
        <v>0</v>
      </c>
      <c r="P158" s="18" t="s">
        <v>599</v>
      </c>
      <c r="Q158" s="18" t="str">
        <f>IFERROR(VLOOKUP(D158,'[1]TT CÁ NHÂN'!$E$3:$F$407,2,FALSE),0)</f>
        <v>maitantruong2911@gmail.com</v>
      </c>
    </row>
    <row r="159" spans="1:17" s="18" customFormat="1" ht="21" customHeight="1" x14ac:dyDescent="0.25">
      <c r="A159" s="19" t="s">
        <v>44</v>
      </c>
      <c r="B159" s="20">
        <v>157</v>
      </c>
      <c r="C159" s="26" t="s">
        <v>207</v>
      </c>
      <c r="D159" s="27">
        <v>8887396184</v>
      </c>
      <c r="E159" s="23">
        <v>0</v>
      </c>
      <c r="F159" s="23">
        <v>700000</v>
      </c>
      <c r="G159" s="23">
        <v>0</v>
      </c>
      <c r="H159" s="23">
        <v>0</v>
      </c>
      <c r="I159" s="23">
        <v>5623020</v>
      </c>
      <c r="J159" s="23">
        <v>6247800</v>
      </c>
      <c r="K159" s="24">
        <f t="shared" si="6"/>
        <v>12570820</v>
      </c>
      <c r="L159" s="23">
        <v>656019</v>
      </c>
      <c r="M159" s="24">
        <v>15500000</v>
      </c>
      <c r="N159" s="24">
        <f t="shared" si="7"/>
        <v>-3585199</v>
      </c>
      <c r="O159" s="80">
        <f t="shared" si="8"/>
        <v>0</v>
      </c>
      <c r="P159" s="18" t="s">
        <v>600</v>
      </c>
      <c r="Q159" s="18" t="str">
        <f>IFERROR(VLOOKUP(D159,'[1]TT CÁ NHÂN'!$E$3:$F$407,2,FALSE),0)</f>
        <v>mtkchinh@gmail.com</v>
      </c>
    </row>
    <row r="160" spans="1:17" s="18" customFormat="1" ht="21" customHeight="1" x14ac:dyDescent="0.25">
      <c r="A160" s="19" t="s">
        <v>25</v>
      </c>
      <c r="B160" s="20">
        <v>158</v>
      </c>
      <c r="C160" s="21" t="s">
        <v>208</v>
      </c>
      <c r="D160" s="22">
        <v>5624629528</v>
      </c>
      <c r="E160" s="23">
        <v>0</v>
      </c>
      <c r="F160" s="23">
        <v>700000</v>
      </c>
      <c r="G160" s="23">
        <v>0</v>
      </c>
      <c r="H160" s="23">
        <v>0</v>
      </c>
      <c r="I160" s="23">
        <v>4928040</v>
      </c>
      <c r="J160" s="23">
        <v>5475600</v>
      </c>
      <c r="K160" s="24">
        <f t="shared" si="6"/>
        <v>11103640</v>
      </c>
      <c r="L160" s="23">
        <v>574938</v>
      </c>
      <c r="M160" s="24">
        <v>21700000</v>
      </c>
      <c r="N160" s="24">
        <f t="shared" si="7"/>
        <v>-11171298</v>
      </c>
      <c r="O160" s="80">
        <f t="shared" si="8"/>
        <v>0</v>
      </c>
      <c r="P160" s="18" t="s">
        <v>601</v>
      </c>
      <c r="Q160" s="18" t="str">
        <f>IFERROR(VLOOKUP(D160,'[1]TT CÁ NHÂN'!$E$3:$F$407,2,FALSE),0)</f>
        <v>Duyenmai1703@gmail.com</v>
      </c>
    </row>
    <row r="161" spans="1:17" s="18" customFormat="1" ht="21" customHeight="1" x14ac:dyDescent="0.25">
      <c r="A161" s="19" t="s">
        <v>22</v>
      </c>
      <c r="B161" s="20">
        <v>159</v>
      </c>
      <c r="C161" s="26" t="s">
        <v>209</v>
      </c>
      <c r="D161" s="27">
        <v>5611148911</v>
      </c>
      <c r="E161" s="23">
        <v>0</v>
      </c>
      <c r="F161" s="23">
        <v>700000</v>
      </c>
      <c r="G161" s="23">
        <v>0</v>
      </c>
      <c r="H161" s="23">
        <v>0</v>
      </c>
      <c r="I161" s="23">
        <v>7012980</v>
      </c>
      <c r="J161" s="23">
        <v>7792200</v>
      </c>
      <c r="K161" s="24">
        <f t="shared" si="6"/>
        <v>15505180</v>
      </c>
      <c r="L161" s="23">
        <v>818181</v>
      </c>
      <c r="M161" s="24">
        <v>21700000</v>
      </c>
      <c r="N161" s="24">
        <f t="shared" si="7"/>
        <v>-7013001</v>
      </c>
      <c r="O161" s="80">
        <f t="shared" si="8"/>
        <v>0</v>
      </c>
      <c r="P161" s="18" t="s">
        <v>602</v>
      </c>
      <c r="Q161" s="18" t="str">
        <f>IFERROR(VLOOKUP(D161,'[1]TT CÁ NHÂN'!$E$3:$F$407,2,FALSE),0)</f>
        <v>maithaihoang575@gmail.com</v>
      </c>
    </row>
    <row r="162" spans="1:17" s="18" customFormat="1" ht="21" customHeight="1" x14ac:dyDescent="0.25">
      <c r="A162" s="19" t="s">
        <v>102</v>
      </c>
      <c r="B162" s="20">
        <v>160</v>
      </c>
      <c r="C162" s="26" t="s">
        <v>210</v>
      </c>
      <c r="D162" s="27">
        <v>5611149853</v>
      </c>
      <c r="E162" s="23">
        <v>0</v>
      </c>
      <c r="F162" s="23">
        <v>700000</v>
      </c>
      <c r="G162" s="23">
        <v>100000</v>
      </c>
      <c r="H162" s="23">
        <v>1836681</v>
      </c>
      <c r="I162" s="23">
        <v>7707960</v>
      </c>
      <c r="J162" s="23">
        <v>8564400</v>
      </c>
      <c r="K162" s="24">
        <f t="shared" si="6"/>
        <v>18909041</v>
      </c>
      <c r="L162" s="23">
        <v>899262</v>
      </c>
      <c r="M162" s="24">
        <v>21700000</v>
      </c>
      <c r="N162" s="24">
        <f t="shared" si="7"/>
        <v>-3690221</v>
      </c>
      <c r="O162" s="80">
        <f t="shared" si="8"/>
        <v>0</v>
      </c>
      <c r="P162" s="18" t="s">
        <v>603</v>
      </c>
      <c r="Q162" s="18" t="str">
        <f>IFERROR(VLOOKUP(D162,'[1]TT CÁ NHÂN'!$E$3:$F$407,2,FALSE),0)</f>
        <v>mtthanhnga91@gmail.com</v>
      </c>
    </row>
    <row r="163" spans="1:17" s="18" customFormat="1" ht="21" customHeight="1" x14ac:dyDescent="0.25">
      <c r="A163" s="19" t="s">
        <v>64</v>
      </c>
      <c r="B163" s="20">
        <v>161</v>
      </c>
      <c r="C163" s="25" t="s">
        <v>211</v>
      </c>
      <c r="D163" s="22">
        <v>8873369409</v>
      </c>
      <c r="E163" s="23">
        <v>0</v>
      </c>
      <c r="F163" s="23">
        <v>700000</v>
      </c>
      <c r="G163" s="23">
        <v>0</v>
      </c>
      <c r="H163" s="23">
        <v>0</v>
      </c>
      <c r="I163" s="23">
        <v>10361520</v>
      </c>
      <c r="J163" s="23">
        <v>11512800</v>
      </c>
      <c r="K163" s="24">
        <f t="shared" si="6"/>
        <v>22574320</v>
      </c>
      <c r="L163" s="23">
        <v>1208844</v>
      </c>
      <c r="M163" s="24">
        <v>21700000</v>
      </c>
      <c r="N163" s="24">
        <f t="shared" si="7"/>
        <v>-334524</v>
      </c>
      <c r="O163" s="80">
        <f t="shared" si="8"/>
        <v>0</v>
      </c>
      <c r="P163" s="18" t="s">
        <v>604</v>
      </c>
      <c r="Q163" s="18" t="str">
        <f>IFERROR(VLOOKUP(D163,'[1]TT CÁ NHÂN'!$E$3:$F$407,2,FALSE),0)</f>
        <v>tinhskssqn@gmail.com</v>
      </c>
    </row>
    <row r="164" spans="1:17" s="18" customFormat="1" ht="21" customHeight="1" x14ac:dyDescent="0.25">
      <c r="A164" s="19" t="s">
        <v>102</v>
      </c>
      <c r="B164" s="20">
        <v>162</v>
      </c>
      <c r="C164" s="26" t="s">
        <v>212</v>
      </c>
      <c r="D164" s="27">
        <v>5611148744</v>
      </c>
      <c r="E164" s="23">
        <v>0</v>
      </c>
      <c r="F164" s="23">
        <v>700000</v>
      </c>
      <c r="G164" s="23">
        <v>0</v>
      </c>
      <c r="H164" s="23">
        <v>0</v>
      </c>
      <c r="I164" s="23">
        <v>11540880</v>
      </c>
      <c r="J164" s="23">
        <v>12823200</v>
      </c>
      <c r="K164" s="24">
        <f t="shared" si="6"/>
        <v>25064080</v>
      </c>
      <c r="L164" s="23">
        <v>1346436</v>
      </c>
      <c r="M164" s="24">
        <v>27900000</v>
      </c>
      <c r="N164" s="24">
        <f t="shared" si="7"/>
        <v>-4182356</v>
      </c>
      <c r="O164" s="80">
        <f t="shared" si="8"/>
        <v>0</v>
      </c>
      <c r="P164" s="18" t="s">
        <v>605</v>
      </c>
      <c r="Q164" s="18" t="str">
        <f>IFERROR(VLOOKUP(D164,'[1]TT CÁ NHÂN'!$E$3:$F$407,2,FALSE),0)</f>
        <v>binhttaids@gmail.com</v>
      </c>
    </row>
    <row r="165" spans="1:17" s="18" customFormat="1" ht="21" customHeight="1" x14ac:dyDescent="0.25">
      <c r="A165" s="19" t="s">
        <v>64</v>
      </c>
      <c r="B165" s="20">
        <v>163</v>
      </c>
      <c r="C165" s="26" t="s">
        <v>213</v>
      </c>
      <c r="D165" s="27">
        <v>5611149880</v>
      </c>
      <c r="E165" s="23">
        <v>0</v>
      </c>
      <c r="F165" s="23">
        <v>700000</v>
      </c>
      <c r="G165" s="23">
        <v>0</v>
      </c>
      <c r="H165" s="23">
        <v>0</v>
      </c>
      <c r="I165" s="23">
        <v>8339760</v>
      </c>
      <c r="J165" s="23">
        <v>9266400</v>
      </c>
      <c r="K165" s="24">
        <f t="shared" si="6"/>
        <v>18306160</v>
      </c>
      <c r="L165" s="23">
        <v>972972</v>
      </c>
      <c r="M165" s="24">
        <v>21700000</v>
      </c>
      <c r="N165" s="24">
        <f t="shared" si="7"/>
        <v>-4366812</v>
      </c>
      <c r="O165" s="80">
        <f t="shared" si="8"/>
        <v>0</v>
      </c>
      <c r="P165" s="18" t="s">
        <v>606</v>
      </c>
      <c r="Q165" s="18" t="str">
        <f>IFERROR(VLOOKUP(D165,'[1]TT CÁ NHÂN'!$E$3:$F$407,2,FALSE),0)</f>
        <v>hagiang120582@gmail.com</v>
      </c>
    </row>
    <row r="166" spans="1:17" s="18" customFormat="1" ht="21" customHeight="1" x14ac:dyDescent="0.25">
      <c r="A166" s="19" t="s">
        <v>57</v>
      </c>
      <c r="B166" s="20">
        <v>164</v>
      </c>
      <c r="C166" s="26" t="s">
        <v>214</v>
      </c>
      <c r="D166" s="27">
        <v>5610226391</v>
      </c>
      <c r="E166" s="23">
        <v>0</v>
      </c>
      <c r="F166" s="23">
        <v>700000</v>
      </c>
      <c r="G166" s="23">
        <v>0</v>
      </c>
      <c r="H166" s="23">
        <v>0</v>
      </c>
      <c r="I166" s="23">
        <v>11540880</v>
      </c>
      <c r="J166" s="23">
        <v>12823200</v>
      </c>
      <c r="K166" s="24">
        <f t="shared" si="6"/>
        <v>25064080</v>
      </c>
      <c r="L166" s="23">
        <v>1346436</v>
      </c>
      <c r="M166" s="24">
        <v>21700000</v>
      </c>
      <c r="N166" s="24">
        <f t="shared" si="7"/>
        <v>2017644</v>
      </c>
      <c r="O166" s="80">
        <f t="shared" si="8"/>
        <v>101000</v>
      </c>
      <c r="P166" s="18" t="s">
        <v>607</v>
      </c>
      <c r="Q166" s="18" t="str">
        <f>IFERROR(VLOOKUP(D166,'[1]TT CÁ NHÂN'!$E$3:$F$407,2,FALSE),0)</f>
        <v>vietnhi638@gmail.com</v>
      </c>
    </row>
    <row r="167" spans="1:17" s="18" customFormat="1" ht="21" customHeight="1" x14ac:dyDescent="0.25">
      <c r="A167" s="19" t="s">
        <v>22</v>
      </c>
      <c r="B167" s="20">
        <v>165</v>
      </c>
      <c r="C167" s="26" t="s">
        <v>215</v>
      </c>
      <c r="D167" s="27">
        <v>5611150013</v>
      </c>
      <c r="E167" s="23">
        <v>0</v>
      </c>
      <c r="F167" s="23">
        <v>700000</v>
      </c>
      <c r="G167" s="23">
        <v>0</v>
      </c>
      <c r="H167" s="23">
        <v>0</v>
      </c>
      <c r="I167" s="23">
        <v>0</v>
      </c>
      <c r="J167" s="23">
        <v>8541000</v>
      </c>
      <c r="K167" s="24">
        <f t="shared" si="6"/>
        <v>9241000</v>
      </c>
      <c r="L167" s="23">
        <v>896805</v>
      </c>
      <c r="M167" s="24">
        <v>34100000</v>
      </c>
      <c r="N167" s="24">
        <f t="shared" si="7"/>
        <v>-25755805</v>
      </c>
      <c r="O167" s="80">
        <f t="shared" si="8"/>
        <v>0</v>
      </c>
      <c r="P167" s="18" t="s">
        <v>608</v>
      </c>
      <c r="Q167" s="18" t="str">
        <f>IFERROR(VLOOKUP(D167,'[1]TT CÁ NHÂN'!$E$3:$F$407,2,FALSE),0)</f>
        <v>ngongochanh1702@gmail.com</v>
      </c>
    </row>
    <row r="168" spans="1:17" s="18" customFormat="1" ht="21" customHeight="1" x14ac:dyDescent="0.25">
      <c r="A168" s="19" t="s">
        <v>112</v>
      </c>
      <c r="B168" s="20">
        <v>166</v>
      </c>
      <c r="C168" s="26" t="s">
        <v>216</v>
      </c>
      <c r="D168" s="27">
        <v>5610277502</v>
      </c>
      <c r="E168" s="23">
        <v>0</v>
      </c>
      <c r="F168" s="23">
        <v>700000</v>
      </c>
      <c r="G168" s="23">
        <v>0</v>
      </c>
      <c r="H168" s="23">
        <v>0</v>
      </c>
      <c r="I168" s="23">
        <v>10487880</v>
      </c>
      <c r="J168" s="23">
        <v>11653200</v>
      </c>
      <c r="K168" s="24">
        <f t="shared" si="6"/>
        <v>22841080</v>
      </c>
      <c r="L168" s="23">
        <v>1223586</v>
      </c>
      <c r="M168" s="24">
        <v>40300000</v>
      </c>
      <c r="N168" s="24">
        <f t="shared" si="7"/>
        <v>-18682506</v>
      </c>
      <c r="O168" s="80">
        <f t="shared" si="8"/>
        <v>0</v>
      </c>
      <c r="P168" s="18" t="s">
        <v>609</v>
      </c>
      <c r="Q168" s="18" t="str">
        <f>IFERROR(VLOOKUP(D168,'[1]TT CÁ NHÂN'!$E$3:$F$407,2,FALSE),0)</f>
        <v>phuocant4g@gmail.com</v>
      </c>
    </row>
    <row r="169" spans="1:17" s="18" customFormat="1" ht="21" customHeight="1" x14ac:dyDescent="0.25">
      <c r="A169" s="19" t="s">
        <v>31</v>
      </c>
      <c r="B169" s="20">
        <v>167</v>
      </c>
      <c r="C169" s="26" t="s">
        <v>217</v>
      </c>
      <c r="D169" s="27">
        <v>5611148373</v>
      </c>
      <c r="E169" s="23">
        <v>0</v>
      </c>
      <c r="F169" s="23">
        <v>700000</v>
      </c>
      <c r="G169" s="23">
        <v>0</v>
      </c>
      <c r="H169" s="23">
        <v>0</v>
      </c>
      <c r="I169" s="23">
        <v>6318000</v>
      </c>
      <c r="J169" s="23">
        <v>7020000</v>
      </c>
      <c r="K169" s="24">
        <f t="shared" si="6"/>
        <v>14038000</v>
      </c>
      <c r="L169" s="23">
        <v>737100</v>
      </c>
      <c r="M169" s="24">
        <v>27900000</v>
      </c>
      <c r="N169" s="24">
        <f t="shared" si="7"/>
        <v>-14599100</v>
      </c>
      <c r="O169" s="80">
        <f t="shared" si="8"/>
        <v>0</v>
      </c>
      <c r="P169" s="18" t="s">
        <v>610</v>
      </c>
      <c r="Q169" s="18" t="str">
        <f>IFERROR(VLOOKUP(D169,'[1]TT CÁ NHÂN'!$E$3:$F$407,2,FALSE),0)</f>
        <v>tuyetsuong0406@gmail.com</v>
      </c>
    </row>
    <row r="170" spans="1:17" s="18" customFormat="1" ht="21" customHeight="1" x14ac:dyDescent="0.25">
      <c r="A170" s="19" t="s">
        <v>80</v>
      </c>
      <c r="B170" s="20">
        <v>168</v>
      </c>
      <c r="C170" s="26" t="s">
        <v>218</v>
      </c>
      <c r="D170" s="27">
        <v>5611151070</v>
      </c>
      <c r="E170" s="23">
        <v>0</v>
      </c>
      <c r="F170" s="23">
        <v>700000</v>
      </c>
      <c r="G170" s="23">
        <v>720000</v>
      </c>
      <c r="H170" s="23">
        <v>0</v>
      </c>
      <c r="I170" s="23">
        <v>14110200</v>
      </c>
      <c r="J170" s="23">
        <v>14274000</v>
      </c>
      <c r="K170" s="24">
        <f t="shared" si="6"/>
        <v>29804200</v>
      </c>
      <c r="L170" s="23">
        <v>1498770</v>
      </c>
      <c r="M170" s="24">
        <v>21700000</v>
      </c>
      <c r="N170" s="24">
        <f t="shared" si="7"/>
        <v>6605430</v>
      </c>
      <c r="O170" s="80">
        <f t="shared" si="8"/>
        <v>330000</v>
      </c>
      <c r="P170" s="18" t="s">
        <v>611</v>
      </c>
      <c r="Q170" s="18" t="str">
        <f>IFERROR(VLOOKUP(D170,'[1]TT CÁ NHÂN'!$E$3:$F$407,2,FALSE),0)</f>
        <v>ngovanquang.dng@gmail.com</v>
      </c>
    </row>
    <row r="171" spans="1:17" s="18" customFormat="1" ht="21" customHeight="1" x14ac:dyDescent="0.25">
      <c r="A171" s="19" t="s">
        <v>44</v>
      </c>
      <c r="B171" s="20">
        <v>169</v>
      </c>
      <c r="C171" s="26" t="s">
        <v>219</v>
      </c>
      <c r="D171" s="27">
        <v>5610406069</v>
      </c>
      <c r="E171" s="23">
        <v>0</v>
      </c>
      <c r="F171" s="23">
        <v>700000</v>
      </c>
      <c r="G171" s="23">
        <v>0</v>
      </c>
      <c r="H171" s="23">
        <v>0</v>
      </c>
      <c r="I171" s="23">
        <v>8402940</v>
      </c>
      <c r="J171" s="23">
        <v>9336600</v>
      </c>
      <c r="K171" s="24">
        <f t="shared" si="6"/>
        <v>18439540</v>
      </c>
      <c r="L171" s="23">
        <v>980343</v>
      </c>
      <c r="M171" s="24">
        <v>15500000</v>
      </c>
      <c r="N171" s="24">
        <f t="shared" si="7"/>
        <v>1959197</v>
      </c>
      <c r="O171" s="80">
        <f t="shared" si="8"/>
        <v>98000</v>
      </c>
      <c r="P171" s="18" t="s">
        <v>612</v>
      </c>
      <c r="Q171" s="18" t="str">
        <f>IFERROR(VLOOKUP(D171,'[1]TT CÁ NHÂN'!$E$3:$F$407,2,FALSE),0)</f>
        <v>xhoadng@gmail.com</v>
      </c>
    </row>
    <row r="172" spans="1:17" s="18" customFormat="1" ht="21" customHeight="1" x14ac:dyDescent="0.25">
      <c r="A172" s="19" t="s">
        <v>25</v>
      </c>
      <c r="B172" s="20">
        <v>170</v>
      </c>
      <c r="C172" s="41" t="s">
        <v>220</v>
      </c>
      <c r="D172" s="22">
        <v>8883369405</v>
      </c>
      <c r="E172" s="23">
        <v>0</v>
      </c>
      <c r="F172" s="23">
        <v>700000</v>
      </c>
      <c r="G172" s="23">
        <v>240000</v>
      </c>
      <c r="H172" s="23">
        <v>700000</v>
      </c>
      <c r="I172" s="23">
        <v>9982440</v>
      </c>
      <c r="J172" s="23">
        <v>11091600</v>
      </c>
      <c r="K172" s="24">
        <f t="shared" si="6"/>
        <v>22714040</v>
      </c>
      <c r="L172" s="23">
        <v>1164618</v>
      </c>
      <c r="M172" s="24">
        <v>27900000</v>
      </c>
      <c r="N172" s="24">
        <f t="shared" si="7"/>
        <v>-6350578</v>
      </c>
      <c r="O172" s="80">
        <f t="shared" si="8"/>
        <v>0</v>
      </c>
      <c r="P172" s="18" t="s">
        <v>613</v>
      </c>
      <c r="Q172" s="18" t="str">
        <f>IFERROR(VLOOKUP(D172,'[1]TT CÁ NHÂN'!$E$3:$F$407,2,FALSE),0)</f>
        <v>drnguyenminhtuan@gmail.com</v>
      </c>
    </row>
    <row r="173" spans="1:17" s="18" customFormat="1" ht="21" customHeight="1" x14ac:dyDescent="0.25">
      <c r="A173" s="19" t="s">
        <v>27</v>
      </c>
      <c r="B173" s="20">
        <v>171</v>
      </c>
      <c r="C173" s="31" t="s">
        <v>221</v>
      </c>
      <c r="D173" s="22">
        <v>8833369428</v>
      </c>
      <c r="E173" s="23">
        <v>0</v>
      </c>
      <c r="F173" s="23">
        <v>700000</v>
      </c>
      <c r="G173" s="23">
        <v>0</v>
      </c>
      <c r="H173" s="23">
        <v>0</v>
      </c>
      <c r="I173" s="23">
        <v>6318000</v>
      </c>
      <c r="J173" s="23">
        <v>7792200</v>
      </c>
      <c r="K173" s="24">
        <f t="shared" si="6"/>
        <v>14810200</v>
      </c>
      <c r="L173" s="23">
        <v>818181</v>
      </c>
      <c r="M173" s="24">
        <v>15500000</v>
      </c>
      <c r="N173" s="24">
        <f t="shared" si="7"/>
        <v>-1507981</v>
      </c>
      <c r="O173" s="80">
        <f t="shared" si="8"/>
        <v>0</v>
      </c>
      <c r="P173" s="18" t="s">
        <v>614</v>
      </c>
      <c r="Q173" s="18" t="str">
        <f>IFERROR(VLOOKUP(D173,'[1]TT CÁ NHÂN'!$E$3:$F$407,2,FALSE),0)</f>
        <v>nguyentandongxn@gmail.com</v>
      </c>
    </row>
    <row r="174" spans="1:17" s="18" customFormat="1" ht="21" customHeight="1" x14ac:dyDescent="0.25">
      <c r="A174" s="19" t="s">
        <v>22</v>
      </c>
      <c r="B174" s="20">
        <v>172</v>
      </c>
      <c r="C174" s="30" t="s">
        <v>222</v>
      </c>
      <c r="D174" s="22">
        <v>8873283276</v>
      </c>
      <c r="E174" s="23">
        <v>0</v>
      </c>
      <c r="F174" s="23">
        <v>700000</v>
      </c>
      <c r="G174" s="23">
        <v>0</v>
      </c>
      <c r="H174" s="23">
        <v>0</v>
      </c>
      <c r="I174" s="23">
        <v>5623020</v>
      </c>
      <c r="J174" s="23">
        <v>6247800</v>
      </c>
      <c r="K174" s="24">
        <f t="shared" si="6"/>
        <v>12570820</v>
      </c>
      <c r="L174" s="23">
        <v>656019</v>
      </c>
      <c r="M174" s="24">
        <v>21700000</v>
      </c>
      <c r="N174" s="24">
        <f t="shared" si="7"/>
        <v>-9785199</v>
      </c>
      <c r="O174" s="80">
        <f t="shared" si="8"/>
        <v>0</v>
      </c>
      <c r="P174" s="18" t="s">
        <v>615</v>
      </c>
      <c r="Q174" s="18" t="str">
        <f>IFERROR(VLOOKUP(D174,'[1]TT CÁ NHÂN'!$E$3:$F$407,2,FALSE),0)</f>
        <v>nguyenanhtuan.ytcc@gmail.com</v>
      </c>
    </row>
    <row r="175" spans="1:17" s="18" customFormat="1" ht="21" customHeight="1" x14ac:dyDescent="0.25">
      <c r="A175" s="19" t="s">
        <v>64</v>
      </c>
      <c r="B175" s="20">
        <v>173</v>
      </c>
      <c r="C175" s="26" t="s">
        <v>223</v>
      </c>
      <c r="D175" s="27">
        <v>5610229406</v>
      </c>
      <c r="E175" s="23">
        <v>0</v>
      </c>
      <c r="F175" s="23">
        <v>700000</v>
      </c>
      <c r="G175" s="23">
        <v>0</v>
      </c>
      <c r="H175" s="23">
        <v>0</v>
      </c>
      <c r="I175" s="23">
        <v>12659587</v>
      </c>
      <c r="J175" s="23">
        <v>14105052</v>
      </c>
      <c r="K175" s="24">
        <f t="shared" si="6"/>
        <v>27464639</v>
      </c>
      <c r="L175" s="23">
        <v>1481030</v>
      </c>
      <c r="M175" s="24">
        <v>27900000</v>
      </c>
      <c r="N175" s="24">
        <f t="shared" si="7"/>
        <v>-1916391</v>
      </c>
      <c r="O175" s="80">
        <f t="shared" si="8"/>
        <v>0</v>
      </c>
      <c r="P175" s="18" t="s">
        <v>616</v>
      </c>
      <c r="Q175" s="18" t="str">
        <f>IFERROR(VLOOKUP(D175,'[1]TT CÁ NHÂN'!$E$3:$F$407,2,FALSE),0)</f>
        <v>annguyenytdp@gmail.com</v>
      </c>
    </row>
    <row r="176" spans="1:17" s="18" customFormat="1" ht="21" customHeight="1" x14ac:dyDescent="0.25">
      <c r="A176" s="19" t="s">
        <v>31</v>
      </c>
      <c r="B176" s="20">
        <v>174</v>
      </c>
      <c r="C176" s="26" t="s">
        <v>224</v>
      </c>
      <c r="D176" s="27">
        <v>5610220542</v>
      </c>
      <c r="E176" s="23">
        <v>0</v>
      </c>
      <c r="F176" s="23">
        <v>700000</v>
      </c>
      <c r="G176" s="23">
        <v>0</v>
      </c>
      <c r="H176" s="23">
        <v>0</v>
      </c>
      <c r="I176" s="23">
        <v>16525080</v>
      </c>
      <c r="J176" s="23">
        <v>15022800</v>
      </c>
      <c r="K176" s="24">
        <f t="shared" si="6"/>
        <v>32247880</v>
      </c>
      <c r="L176" s="23">
        <v>1577394</v>
      </c>
      <c r="M176" s="24">
        <v>27900000</v>
      </c>
      <c r="N176" s="24">
        <f t="shared" si="7"/>
        <v>2770486</v>
      </c>
      <c r="O176" s="80">
        <f t="shared" si="8"/>
        <v>139000</v>
      </c>
      <c r="P176" s="18" t="s">
        <v>617</v>
      </c>
      <c r="Q176" s="18" t="str">
        <f>IFERROR(VLOOKUP(D176,'[1]TT CÁ NHÂN'!$E$3:$F$407,2,FALSE),0)</f>
        <v>vinhnd1@danang.gov.vn</v>
      </c>
    </row>
    <row r="177" spans="1:17" s="18" customFormat="1" ht="21" customHeight="1" x14ac:dyDescent="0.25">
      <c r="A177" s="19" t="s">
        <v>112</v>
      </c>
      <c r="B177" s="20">
        <v>175</v>
      </c>
      <c r="C177" s="26" t="s">
        <v>225</v>
      </c>
      <c r="D177" s="27">
        <v>5610285958</v>
      </c>
      <c r="E177" s="23">
        <v>0</v>
      </c>
      <c r="F177" s="23">
        <v>700000</v>
      </c>
      <c r="G177" s="23">
        <v>0</v>
      </c>
      <c r="H177" s="23">
        <v>0</v>
      </c>
      <c r="I177" s="23">
        <v>8129160</v>
      </c>
      <c r="J177" s="23">
        <v>9266400</v>
      </c>
      <c r="K177" s="24">
        <f t="shared" si="6"/>
        <v>18095560</v>
      </c>
      <c r="L177" s="23">
        <v>972972</v>
      </c>
      <c r="M177" s="24">
        <v>27900000</v>
      </c>
      <c r="N177" s="24">
        <f t="shared" si="7"/>
        <v>-10777412</v>
      </c>
      <c r="O177" s="80">
        <f t="shared" si="8"/>
        <v>0</v>
      </c>
      <c r="P177" s="18" t="s">
        <v>618</v>
      </c>
      <c r="Q177" s="18" t="str">
        <f>IFERROR(VLOOKUP(D177,'[1]TT CÁ NHÂN'!$E$3:$F$407,2,FALSE),0)</f>
        <v>dinhchinhnguyen231982@gmail.com</v>
      </c>
    </row>
    <row r="178" spans="1:17" s="18" customFormat="1" ht="21" customHeight="1" x14ac:dyDescent="0.25">
      <c r="A178" s="19" t="s">
        <v>64</v>
      </c>
      <c r="B178" s="20">
        <v>176</v>
      </c>
      <c r="C178" s="26" t="s">
        <v>226</v>
      </c>
      <c r="D178" s="27">
        <v>5610226692</v>
      </c>
      <c r="E178" s="23">
        <v>0</v>
      </c>
      <c r="F178" s="23">
        <v>700000</v>
      </c>
      <c r="G178" s="23">
        <v>0</v>
      </c>
      <c r="H178" s="23">
        <v>0</v>
      </c>
      <c r="I178" s="23">
        <v>8339760</v>
      </c>
      <c r="J178" s="23">
        <v>9266400</v>
      </c>
      <c r="K178" s="24">
        <f t="shared" si="6"/>
        <v>18306160</v>
      </c>
      <c r="L178" s="23">
        <v>972972</v>
      </c>
      <c r="M178" s="24">
        <v>27900000</v>
      </c>
      <c r="N178" s="24">
        <f t="shared" si="7"/>
        <v>-10566812</v>
      </c>
      <c r="O178" s="80">
        <f t="shared" si="8"/>
        <v>0</v>
      </c>
      <c r="P178" s="18" t="s">
        <v>619</v>
      </c>
      <c r="Q178" s="18" t="str">
        <f>IFERROR(VLOOKUP(D178,'[1]TT CÁ NHÂN'!$E$3:$F$407,2,FALSE),0)</f>
        <v>nguyendinhquang79@gmai.com</v>
      </c>
    </row>
    <row r="179" spans="1:17" s="18" customFormat="1" ht="21" customHeight="1" x14ac:dyDescent="0.25">
      <c r="A179" s="19" t="s">
        <v>34</v>
      </c>
      <c r="B179" s="20">
        <v>177</v>
      </c>
      <c r="C179" s="26" t="s">
        <v>227</v>
      </c>
      <c r="D179" s="27">
        <v>5610228412</v>
      </c>
      <c r="E179" s="23">
        <v>0</v>
      </c>
      <c r="F179" s="23">
        <v>700000</v>
      </c>
      <c r="G179" s="23">
        <v>0</v>
      </c>
      <c r="H179" s="23">
        <v>0</v>
      </c>
      <c r="I179" s="23">
        <v>10317434</v>
      </c>
      <c r="J179" s="23">
        <v>11495484</v>
      </c>
      <c r="K179" s="24">
        <f t="shared" si="6"/>
        <v>22512918</v>
      </c>
      <c r="L179" s="23">
        <v>1207026</v>
      </c>
      <c r="M179" s="24">
        <v>15500000</v>
      </c>
      <c r="N179" s="24">
        <f t="shared" si="7"/>
        <v>5805892</v>
      </c>
      <c r="O179" s="80">
        <f t="shared" si="8"/>
        <v>290000</v>
      </c>
      <c r="P179" s="18" t="s">
        <v>620</v>
      </c>
      <c r="Q179" s="18" t="str">
        <f>IFERROR(VLOOKUP(D179,'[1]TT CÁ NHÂN'!$E$3:$F$407,2,FALSE),0)</f>
        <v>bnncdcdng@gmail.com</v>
      </c>
    </row>
    <row r="180" spans="1:17" s="18" customFormat="1" ht="21" customHeight="1" x14ac:dyDescent="0.25">
      <c r="A180" s="19" t="s">
        <v>50</v>
      </c>
      <c r="B180" s="20">
        <v>178</v>
      </c>
      <c r="C180" s="26" t="s">
        <v>228</v>
      </c>
      <c r="D180" s="27">
        <v>5611610322</v>
      </c>
      <c r="E180" s="23">
        <v>0</v>
      </c>
      <c r="F180" s="23">
        <v>700000</v>
      </c>
      <c r="G180" s="23">
        <v>0</v>
      </c>
      <c r="H180" s="23">
        <v>1200000</v>
      </c>
      <c r="I180" s="23">
        <v>0</v>
      </c>
      <c r="J180" s="23">
        <v>4914000</v>
      </c>
      <c r="K180" s="24">
        <f t="shared" si="6"/>
        <v>6814000</v>
      </c>
      <c r="L180" s="23">
        <v>515970</v>
      </c>
      <c r="M180" s="24">
        <v>15500000</v>
      </c>
      <c r="N180" s="24">
        <f t="shared" si="7"/>
        <v>-9201970</v>
      </c>
      <c r="O180" s="80">
        <f t="shared" si="8"/>
        <v>0</v>
      </c>
      <c r="P180" s="18" t="s">
        <v>621</v>
      </c>
      <c r="Q180" s="18" t="str">
        <f>IFERROR(VLOOKUP(D180,'[1]TT CÁ NHÂN'!$E$3:$F$407,2,FALSE),0)</f>
        <v>thuannd0695@gmail.com</v>
      </c>
    </row>
    <row r="181" spans="1:17" s="18" customFormat="1" ht="21" customHeight="1" x14ac:dyDescent="0.25">
      <c r="A181" s="19" t="s">
        <v>38</v>
      </c>
      <c r="B181" s="20">
        <v>179</v>
      </c>
      <c r="C181" s="26" t="s">
        <v>229</v>
      </c>
      <c r="D181" s="27">
        <v>5610756199</v>
      </c>
      <c r="E181" s="23">
        <v>401000</v>
      </c>
      <c r="F181" s="23">
        <v>700000</v>
      </c>
      <c r="G181" s="23">
        <v>0</v>
      </c>
      <c r="H181" s="23">
        <v>0</v>
      </c>
      <c r="I181" s="23">
        <v>7012980</v>
      </c>
      <c r="J181" s="23">
        <v>7792200</v>
      </c>
      <c r="K181" s="24">
        <f t="shared" si="6"/>
        <v>15906180</v>
      </c>
      <c r="L181" s="23">
        <v>818181</v>
      </c>
      <c r="M181" s="24">
        <v>27900000</v>
      </c>
      <c r="N181" s="24">
        <f t="shared" si="7"/>
        <v>-12812001</v>
      </c>
      <c r="O181" s="80">
        <f t="shared" si="8"/>
        <v>0</v>
      </c>
      <c r="P181" s="18" t="s">
        <v>622</v>
      </c>
      <c r="Q181" s="18" t="str">
        <f>IFERROR(VLOOKUP(D181,'[1]TT CÁ NHÂN'!$E$3:$F$407,2,FALSE),0)</f>
        <v>baoquyen0102@gmail.com</v>
      </c>
    </row>
    <row r="182" spans="1:17" s="18" customFormat="1" ht="21" customHeight="1" x14ac:dyDescent="0.25">
      <c r="A182" s="19" t="s">
        <v>44</v>
      </c>
      <c r="B182" s="20">
        <v>180</v>
      </c>
      <c r="C182" s="26" t="s">
        <v>230</v>
      </c>
      <c r="D182" s="27">
        <v>8847397566</v>
      </c>
      <c r="E182" s="23">
        <v>0</v>
      </c>
      <c r="F182" s="23">
        <v>700000</v>
      </c>
      <c r="G182" s="23">
        <v>238000</v>
      </c>
      <c r="H182" s="23">
        <v>0</v>
      </c>
      <c r="I182" s="23">
        <v>6318000</v>
      </c>
      <c r="J182" s="23">
        <v>7020000</v>
      </c>
      <c r="K182" s="24">
        <f t="shared" si="6"/>
        <v>14276000</v>
      </c>
      <c r="L182" s="23">
        <v>737100</v>
      </c>
      <c r="M182" s="24">
        <v>15500000</v>
      </c>
      <c r="N182" s="24">
        <f t="shared" si="7"/>
        <v>-1961100</v>
      </c>
      <c r="O182" s="80">
        <f t="shared" si="8"/>
        <v>0</v>
      </c>
      <c r="P182" s="18" t="s">
        <v>623</v>
      </c>
      <c r="Q182" s="18" t="str">
        <f>IFERROR(VLOOKUP(D182,'[1]TT CÁ NHÂN'!$E$3:$F$407,2,FALSE),0)</f>
        <v>lamquynh2512@gmail.com</v>
      </c>
    </row>
    <row r="183" spans="1:17" s="18" customFormat="1" ht="21" customHeight="1" x14ac:dyDescent="0.25">
      <c r="A183" s="19" t="s">
        <v>42</v>
      </c>
      <c r="B183" s="20">
        <v>181</v>
      </c>
      <c r="C183" s="26" t="s">
        <v>231</v>
      </c>
      <c r="D183" s="27">
        <v>5610226188</v>
      </c>
      <c r="E183" s="23">
        <v>0</v>
      </c>
      <c r="F183" s="23">
        <v>700000</v>
      </c>
      <c r="G183" s="23">
        <v>0</v>
      </c>
      <c r="H183" s="23">
        <v>0</v>
      </c>
      <c r="I183" s="23">
        <v>10150920</v>
      </c>
      <c r="J183" s="23">
        <v>11278800</v>
      </c>
      <c r="K183" s="24">
        <f t="shared" si="6"/>
        <v>22129720</v>
      </c>
      <c r="L183" s="23">
        <v>1184274</v>
      </c>
      <c r="M183" s="24">
        <v>27900000</v>
      </c>
      <c r="N183" s="24">
        <f t="shared" si="7"/>
        <v>-6954554</v>
      </c>
      <c r="O183" s="80">
        <f t="shared" si="8"/>
        <v>0</v>
      </c>
      <c r="P183" s="18" t="s">
        <v>624</v>
      </c>
      <c r="Q183" s="18" t="str">
        <f>IFERROR(VLOOKUP(D183,'[1]TT CÁ NHÂN'!$E$3:$F$407,2,FALSE),0)</f>
        <v>nguyenducvinh1982dn@gmail.com</v>
      </c>
    </row>
    <row r="184" spans="1:17" s="18" customFormat="1" ht="21" customHeight="1" x14ac:dyDescent="0.25">
      <c r="A184" s="19" t="s">
        <v>44</v>
      </c>
      <c r="B184" s="20">
        <v>182</v>
      </c>
      <c r="C184" s="26" t="s">
        <v>232</v>
      </c>
      <c r="D184" s="27">
        <v>5611151195</v>
      </c>
      <c r="E184" s="23">
        <v>0</v>
      </c>
      <c r="F184" s="23">
        <v>700000</v>
      </c>
      <c r="G184" s="23">
        <v>0</v>
      </c>
      <c r="H184" s="23">
        <v>0</v>
      </c>
      <c r="I184" s="23">
        <v>9097920</v>
      </c>
      <c r="J184" s="23">
        <v>10108800</v>
      </c>
      <c r="K184" s="24">
        <f t="shared" si="6"/>
        <v>19906720</v>
      </c>
      <c r="L184" s="23">
        <v>1061424</v>
      </c>
      <c r="M184" s="24">
        <v>21700000</v>
      </c>
      <c r="N184" s="24">
        <f t="shared" si="7"/>
        <v>-2854704</v>
      </c>
      <c r="O184" s="80">
        <f t="shared" si="8"/>
        <v>0</v>
      </c>
      <c r="P184" s="18" t="s">
        <v>625</v>
      </c>
      <c r="Q184" s="18" t="str">
        <f>IFERROR(VLOOKUP(D184,'[1]TT CÁ NHÂN'!$E$3:$F$407,2,FALSE),0)</f>
        <v>chaugiang.dn1980@gmail.com</v>
      </c>
    </row>
    <row r="185" spans="1:17" s="18" customFormat="1" ht="21" customHeight="1" x14ac:dyDescent="0.25">
      <c r="A185" s="19" t="s">
        <v>27</v>
      </c>
      <c r="B185" s="20">
        <v>183</v>
      </c>
      <c r="C185" s="21" t="s">
        <v>233</v>
      </c>
      <c r="D185" s="22">
        <v>5623455100</v>
      </c>
      <c r="E185" s="23">
        <v>0</v>
      </c>
      <c r="F185" s="23">
        <v>700000</v>
      </c>
      <c r="G185" s="23">
        <v>0</v>
      </c>
      <c r="H185" s="23">
        <v>0</v>
      </c>
      <c r="I185" s="23">
        <v>6318000</v>
      </c>
      <c r="J185" s="23">
        <v>0</v>
      </c>
      <c r="K185" s="24">
        <f t="shared" si="6"/>
        <v>7018000</v>
      </c>
      <c r="L185" s="23">
        <v>0</v>
      </c>
      <c r="M185" s="24">
        <v>15500000</v>
      </c>
      <c r="N185" s="24">
        <f t="shared" si="7"/>
        <v>-8482000</v>
      </c>
      <c r="O185" s="80">
        <f t="shared" si="8"/>
        <v>0</v>
      </c>
      <c r="P185" s="18" t="s">
        <v>626</v>
      </c>
      <c r="Q185" s="18" t="str">
        <f>IFERROR(VLOOKUP(D185,'[1]TT CÁ NHÂN'!$E$3:$F$407,2,FALSE),0)</f>
        <v>nguyenhoanglyna189@gmail.com</v>
      </c>
    </row>
    <row r="186" spans="1:17" s="18" customFormat="1" ht="21" customHeight="1" x14ac:dyDescent="0.25">
      <c r="A186" s="19" t="s">
        <v>112</v>
      </c>
      <c r="B186" s="20">
        <v>184</v>
      </c>
      <c r="C186" s="26" t="s">
        <v>234</v>
      </c>
      <c r="D186" s="27">
        <v>5610080056</v>
      </c>
      <c r="E186" s="23">
        <v>0</v>
      </c>
      <c r="F186" s="23">
        <v>700000</v>
      </c>
      <c r="G186" s="23">
        <v>540000</v>
      </c>
      <c r="H186" s="23">
        <v>0</v>
      </c>
      <c r="I186" s="23">
        <v>11751480</v>
      </c>
      <c r="J186" s="23">
        <v>13057200</v>
      </c>
      <c r="K186" s="24">
        <f t="shared" si="6"/>
        <v>26048680</v>
      </c>
      <c r="L186" s="23">
        <v>1371006</v>
      </c>
      <c r="M186" s="24">
        <v>27900000</v>
      </c>
      <c r="N186" s="24">
        <f t="shared" si="7"/>
        <v>-3222326</v>
      </c>
      <c r="O186" s="80">
        <f t="shared" si="8"/>
        <v>0</v>
      </c>
      <c r="P186" s="18" t="s">
        <v>627</v>
      </c>
      <c r="Q186" s="18" t="str">
        <f>IFERROR(VLOOKUP(D186,'[1]TT CÁ NHÂN'!$E$3:$F$407,2,FALSE),0)</f>
        <v>quynhat.76.82@gmail.com</v>
      </c>
    </row>
    <row r="187" spans="1:17" s="18" customFormat="1" ht="21" customHeight="1" x14ac:dyDescent="0.25">
      <c r="A187" s="19" t="s">
        <v>34</v>
      </c>
      <c r="B187" s="20">
        <v>185</v>
      </c>
      <c r="C187" s="26" t="s">
        <v>235</v>
      </c>
      <c r="D187" s="27">
        <v>5610343397</v>
      </c>
      <c r="E187" s="23">
        <v>0</v>
      </c>
      <c r="F187" s="23">
        <v>700000</v>
      </c>
      <c r="G187" s="23">
        <v>0</v>
      </c>
      <c r="H187" s="23">
        <v>0</v>
      </c>
      <c r="I187" s="23">
        <v>7834320</v>
      </c>
      <c r="J187" s="23">
        <v>9266400</v>
      </c>
      <c r="K187" s="24">
        <f t="shared" si="6"/>
        <v>17800720</v>
      </c>
      <c r="L187" s="23">
        <v>972972</v>
      </c>
      <c r="M187" s="24">
        <v>27900000</v>
      </c>
      <c r="N187" s="24">
        <f t="shared" si="7"/>
        <v>-11072252</v>
      </c>
      <c r="O187" s="80">
        <f t="shared" si="8"/>
        <v>0</v>
      </c>
      <c r="P187" s="18" t="s">
        <v>628</v>
      </c>
      <c r="Q187" s="18" t="str">
        <f>IFERROR(VLOOKUP(D187,'[1]TT CÁ NHÂN'!$E$3:$F$407,2,FALSE),0)</f>
        <v>thanhnguyenhuu86@gmail.com</v>
      </c>
    </row>
    <row r="188" spans="1:17" s="18" customFormat="1" ht="21" customHeight="1" x14ac:dyDescent="0.25">
      <c r="A188" s="19" t="s">
        <v>22</v>
      </c>
      <c r="B188" s="20">
        <v>186</v>
      </c>
      <c r="C188" s="41" t="s">
        <v>236</v>
      </c>
      <c r="D188" s="22">
        <v>8833369395</v>
      </c>
      <c r="E188" s="23">
        <v>0</v>
      </c>
      <c r="F188" s="23">
        <v>700000</v>
      </c>
      <c r="G188" s="23">
        <v>0</v>
      </c>
      <c r="H188" s="23">
        <v>0</v>
      </c>
      <c r="I188" s="23">
        <v>10150920</v>
      </c>
      <c r="J188" s="23">
        <v>11278800</v>
      </c>
      <c r="K188" s="24">
        <f t="shared" si="6"/>
        <v>22129720</v>
      </c>
      <c r="L188" s="23">
        <v>1184274</v>
      </c>
      <c r="M188" s="24">
        <v>27900000</v>
      </c>
      <c r="N188" s="24">
        <f t="shared" si="7"/>
        <v>-6954554</v>
      </c>
      <c r="O188" s="80">
        <f t="shared" si="8"/>
        <v>0</v>
      </c>
      <c r="P188" s="18" t="s">
        <v>629</v>
      </c>
      <c r="Q188" s="18" t="str">
        <f>IFERROR(VLOOKUP(D188,'[1]TT CÁ NHÂN'!$E$3:$F$407,2,FALSE),0)</f>
        <v>huydichte@gmail.com</v>
      </c>
    </row>
    <row r="189" spans="1:17" s="18" customFormat="1" ht="21" customHeight="1" x14ac:dyDescent="0.25">
      <c r="A189" s="19" t="s">
        <v>22</v>
      </c>
      <c r="B189" s="20">
        <v>187</v>
      </c>
      <c r="C189" s="26" t="s">
        <v>237</v>
      </c>
      <c r="D189" s="27">
        <v>5611148902</v>
      </c>
      <c r="E189" s="23">
        <v>0</v>
      </c>
      <c r="F189" s="23">
        <v>700000</v>
      </c>
      <c r="G189" s="23">
        <v>0</v>
      </c>
      <c r="H189" s="23">
        <v>0</v>
      </c>
      <c r="I189" s="23">
        <v>0</v>
      </c>
      <c r="J189" s="23">
        <v>6458400</v>
      </c>
      <c r="K189" s="24">
        <f t="shared" si="6"/>
        <v>7158400</v>
      </c>
      <c r="L189" s="23">
        <v>678132</v>
      </c>
      <c r="M189" s="24">
        <v>27900000</v>
      </c>
      <c r="N189" s="24">
        <f t="shared" si="7"/>
        <v>-21419732</v>
      </c>
      <c r="O189" s="80">
        <f t="shared" si="8"/>
        <v>0</v>
      </c>
      <c r="P189" s="18" t="s">
        <v>835</v>
      </c>
      <c r="Q189" s="18" t="str">
        <f>IFERROR(VLOOKUP(D189,'[1]TT CÁ NHÂN'!$E$3:$F$407,2,FALSE),0)</f>
        <v>nguyenlamnguyen270179@gmail.com</v>
      </c>
    </row>
    <row r="190" spans="1:17" s="18" customFormat="1" ht="21" customHeight="1" x14ac:dyDescent="0.25">
      <c r="A190" s="19" t="s">
        <v>80</v>
      </c>
      <c r="B190" s="20">
        <v>188</v>
      </c>
      <c r="C190" s="51" t="s">
        <v>238</v>
      </c>
      <c r="D190" s="27">
        <v>8847926212</v>
      </c>
      <c r="E190" s="23">
        <v>0</v>
      </c>
      <c r="F190" s="23">
        <v>700000</v>
      </c>
      <c r="G190" s="23">
        <v>0</v>
      </c>
      <c r="H190" s="23">
        <v>0</v>
      </c>
      <c r="I190" s="23">
        <v>0</v>
      </c>
      <c r="J190" s="23">
        <v>4654260</v>
      </c>
      <c r="K190" s="24">
        <f t="shared" si="6"/>
        <v>5354260</v>
      </c>
      <c r="L190" s="23">
        <v>488697</v>
      </c>
      <c r="M190" s="24">
        <v>15500000</v>
      </c>
      <c r="N190" s="24">
        <f t="shared" si="7"/>
        <v>-10634437</v>
      </c>
      <c r="O190" s="80">
        <f t="shared" si="8"/>
        <v>0</v>
      </c>
      <c r="P190" s="18" t="s">
        <v>852</v>
      </c>
      <c r="Q190" s="18">
        <f>IFERROR(VLOOKUP(D190,'[1]TT CÁ NHÂN'!$E$3:$F$407,2,FALSE),0)</f>
        <v>0</v>
      </c>
    </row>
    <row r="191" spans="1:17" s="18" customFormat="1" ht="21" customHeight="1" x14ac:dyDescent="0.25">
      <c r="A191" s="19" t="s">
        <v>44</v>
      </c>
      <c r="B191" s="20">
        <v>189</v>
      </c>
      <c r="C191" s="30" t="s">
        <v>239</v>
      </c>
      <c r="D191" s="22">
        <v>5623448784</v>
      </c>
      <c r="E191" s="23">
        <v>0</v>
      </c>
      <c r="F191" s="23">
        <v>700000</v>
      </c>
      <c r="G191" s="23">
        <v>0</v>
      </c>
      <c r="H191" s="23">
        <v>0</v>
      </c>
      <c r="I191" s="23">
        <v>12554708</v>
      </c>
      <c r="J191" s="23">
        <v>14221584</v>
      </c>
      <c r="K191" s="24">
        <f t="shared" si="6"/>
        <v>27476292</v>
      </c>
      <c r="L191" s="23">
        <v>1493267</v>
      </c>
      <c r="M191" s="24">
        <v>21700000</v>
      </c>
      <c r="N191" s="24">
        <f t="shared" si="7"/>
        <v>4283025</v>
      </c>
      <c r="O191" s="80">
        <f t="shared" si="8"/>
        <v>214000</v>
      </c>
      <c r="P191" s="18" t="s">
        <v>630</v>
      </c>
      <c r="Q191" s="18" t="str">
        <f>IFERROR(VLOOKUP(D191,'[1]TT CÁ NHÂN'!$E$3:$F$407,2,FALSE),0)</f>
        <v>nguyenloicdcqnam@gmail.com</v>
      </c>
    </row>
    <row r="192" spans="1:17" s="18" customFormat="1" ht="21" customHeight="1" x14ac:dyDescent="0.25">
      <c r="A192" s="19" t="s">
        <v>61</v>
      </c>
      <c r="B192" s="20">
        <v>190</v>
      </c>
      <c r="C192" s="25" t="s">
        <v>240</v>
      </c>
      <c r="D192" s="22">
        <v>8843378585</v>
      </c>
      <c r="E192" s="23">
        <v>0</v>
      </c>
      <c r="F192" s="23">
        <v>700000</v>
      </c>
      <c r="G192" s="23">
        <v>0</v>
      </c>
      <c r="H192" s="23">
        <v>0</v>
      </c>
      <c r="I192" s="23">
        <v>0</v>
      </c>
      <c r="J192" s="23">
        <v>5194800</v>
      </c>
      <c r="K192" s="24">
        <f t="shared" si="6"/>
        <v>5894800</v>
      </c>
      <c r="L192" s="23">
        <v>545454</v>
      </c>
      <c r="M192" s="24">
        <v>15500000</v>
      </c>
      <c r="N192" s="24">
        <f t="shared" si="7"/>
        <v>-10150654</v>
      </c>
      <c r="O192" s="80">
        <f t="shared" si="8"/>
        <v>0</v>
      </c>
      <c r="P192" s="18" t="s">
        <v>631</v>
      </c>
      <c r="Q192" s="18" t="str">
        <f>IFERROR(VLOOKUP(D192,'[1]TT CÁ NHÂN'!$E$3:$F$407,2,FALSE),0)</f>
        <v>nguyenthanhminh252@gmail.com</v>
      </c>
    </row>
    <row r="193" spans="1:17" s="18" customFormat="1" ht="21" customHeight="1" x14ac:dyDescent="0.25">
      <c r="A193" s="19" t="s">
        <v>27</v>
      </c>
      <c r="B193" s="20">
        <v>191</v>
      </c>
      <c r="C193" s="26" t="s">
        <v>241</v>
      </c>
      <c r="D193" s="27">
        <v>8847397845</v>
      </c>
      <c r="E193" s="23">
        <v>0</v>
      </c>
      <c r="F193" s="23">
        <v>700000</v>
      </c>
      <c r="G193" s="23">
        <v>0</v>
      </c>
      <c r="H193" s="23">
        <v>0</v>
      </c>
      <c r="I193" s="23">
        <v>8402940</v>
      </c>
      <c r="J193" s="23">
        <v>9336600</v>
      </c>
      <c r="K193" s="24">
        <f t="shared" si="6"/>
        <v>18439540</v>
      </c>
      <c r="L193" s="23">
        <v>980343</v>
      </c>
      <c r="M193" s="24">
        <v>15500000</v>
      </c>
      <c r="N193" s="24">
        <f t="shared" si="7"/>
        <v>1959197</v>
      </c>
      <c r="O193" s="80">
        <f t="shared" si="8"/>
        <v>98000</v>
      </c>
      <c r="P193" s="18" t="s">
        <v>632</v>
      </c>
      <c r="Q193" s="18" t="str">
        <f>IFERROR(VLOOKUP(D193,'[1]TT CÁ NHÂN'!$E$3:$F$407,2,FALSE),0)</f>
        <v>tuannm3@danang.gov.vn</v>
      </c>
    </row>
    <row r="194" spans="1:17" s="18" customFormat="1" ht="21" customHeight="1" x14ac:dyDescent="0.25">
      <c r="A194" s="19" t="s">
        <v>44</v>
      </c>
      <c r="B194" s="20">
        <v>192</v>
      </c>
      <c r="C194" s="26" t="s">
        <v>242</v>
      </c>
      <c r="D194" s="27">
        <v>5611148230</v>
      </c>
      <c r="E194" s="23">
        <v>0</v>
      </c>
      <c r="F194" s="23">
        <v>700000</v>
      </c>
      <c r="G194" s="23">
        <v>0</v>
      </c>
      <c r="H194" s="23">
        <v>0</v>
      </c>
      <c r="I194" s="23">
        <v>7707960</v>
      </c>
      <c r="J194" s="23">
        <v>8564400</v>
      </c>
      <c r="K194" s="24">
        <f t="shared" si="6"/>
        <v>16972360</v>
      </c>
      <c r="L194" s="23">
        <v>899262</v>
      </c>
      <c r="M194" s="24">
        <v>15500000</v>
      </c>
      <c r="N194" s="24">
        <f t="shared" si="7"/>
        <v>573098</v>
      </c>
      <c r="O194" s="80">
        <f t="shared" si="8"/>
        <v>29000</v>
      </c>
      <c r="P194" s="18" t="s">
        <v>633</v>
      </c>
      <c r="Q194" s="18" t="str">
        <f>IFERROR(VLOOKUP(D194,'[1]TT CÁ NHÂN'!$E$3:$F$407,2,FALSE),0)</f>
        <v>thucuyen.021@gmail.com</v>
      </c>
    </row>
    <row r="195" spans="1:17" s="18" customFormat="1" ht="21" customHeight="1" x14ac:dyDescent="0.25">
      <c r="A195" s="19" t="s">
        <v>42</v>
      </c>
      <c r="B195" s="20">
        <v>193</v>
      </c>
      <c r="C195" s="41" t="s">
        <v>243</v>
      </c>
      <c r="D195" s="22">
        <v>8893369416</v>
      </c>
      <c r="E195" s="23">
        <v>0</v>
      </c>
      <c r="F195" s="23">
        <v>700000</v>
      </c>
      <c r="G195" s="23">
        <v>0</v>
      </c>
      <c r="H195" s="23">
        <v>0</v>
      </c>
      <c r="I195" s="23">
        <v>11540880</v>
      </c>
      <c r="J195" s="23">
        <v>12823200</v>
      </c>
      <c r="K195" s="24">
        <f t="shared" ref="K195:K258" si="9">SUM(E195:J195)</f>
        <v>25064080</v>
      </c>
      <c r="L195" s="23">
        <v>1346436</v>
      </c>
      <c r="M195" s="24">
        <v>27900000</v>
      </c>
      <c r="N195" s="24">
        <f t="shared" si="7"/>
        <v>-4182356</v>
      </c>
      <c r="O195" s="80">
        <f t="shared" si="8"/>
        <v>0</v>
      </c>
      <c r="P195" s="18" t="s">
        <v>634</v>
      </c>
      <c r="Q195" s="18" t="str">
        <f>IFERROR(VLOOKUP(D195,'[1]TT CÁ NHÂN'!$E$3:$F$407,2,FALSE),0)</f>
        <v>tiennn5@danang.gov.vn</v>
      </c>
    </row>
    <row r="196" spans="1:17" s="18" customFormat="1" ht="21" customHeight="1" x14ac:dyDescent="0.25">
      <c r="A196" s="19" t="s">
        <v>31</v>
      </c>
      <c r="B196" s="20">
        <v>194</v>
      </c>
      <c r="C196" s="30" t="s">
        <v>244</v>
      </c>
      <c r="D196" s="22">
        <v>8853278884</v>
      </c>
      <c r="E196" s="23">
        <v>0</v>
      </c>
      <c r="F196" s="23">
        <v>700000</v>
      </c>
      <c r="G196" s="23">
        <v>0</v>
      </c>
      <c r="H196" s="23">
        <v>0</v>
      </c>
      <c r="I196" s="23">
        <v>4928040</v>
      </c>
      <c r="J196" s="23">
        <v>5475600</v>
      </c>
      <c r="K196" s="24">
        <f t="shared" si="9"/>
        <v>11103640</v>
      </c>
      <c r="L196" s="23">
        <v>574938</v>
      </c>
      <c r="M196" s="24">
        <v>15500000</v>
      </c>
      <c r="N196" s="24">
        <f t="shared" ref="N196:N259" si="10">K196-L196-M196</f>
        <v>-4971298</v>
      </c>
      <c r="O196" s="80">
        <f t="shared" ref="O196:O259" si="11">ROUND(IF(N196&gt;100000000,N196*35%-14500000,IF(N196&gt;60000000,N196*30%-9500000,IF(N196&gt;30000000,N196*20%-3500000,IF(N196&gt;10000000,N196*10%-500000,IF(N196&gt;0,N196*5%,0))))),-3)</f>
        <v>0</v>
      </c>
      <c r="P196" s="18" t="s">
        <v>635</v>
      </c>
      <c r="Q196" s="18" t="str">
        <f>IFERROR(VLOOKUP(D196,'[1]TT CÁ NHÂN'!$E$3:$F$407,2,FALSE),0)</f>
        <v>nhuyytdp@gmail.com</v>
      </c>
    </row>
    <row r="197" spans="1:17" s="18" customFormat="1" ht="21" customHeight="1" x14ac:dyDescent="0.25">
      <c r="A197" s="19" t="s">
        <v>42</v>
      </c>
      <c r="B197" s="20">
        <v>195</v>
      </c>
      <c r="C197" s="30" t="s">
        <v>245</v>
      </c>
      <c r="D197" s="22">
        <v>5623455234</v>
      </c>
      <c r="E197" s="23">
        <v>0</v>
      </c>
      <c r="F197" s="23">
        <v>700000</v>
      </c>
      <c r="G197" s="23">
        <v>0</v>
      </c>
      <c r="H197" s="23">
        <v>0</v>
      </c>
      <c r="I197" s="23">
        <v>0</v>
      </c>
      <c r="J197" s="23">
        <v>5475600</v>
      </c>
      <c r="K197" s="24">
        <f t="shared" si="9"/>
        <v>6175600</v>
      </c>
      <c r="L197" s="23">
        <v>574938</v>
      </c>
      <c r="M197" s="24">
        <v>21700000</v>
      </c>
      <c r="N197" s="24">
        <f t="shared" si="10"/>
        <v>-16099338</v>
      </c>
      <c r="O197" s="80">
        <f t="shared" si="11"/>
        <v>0</v>
      </c>
      <c r="P197" s="18" t="s">
        <v>636</v>
      </c>
      <c r="Q197" s="18" t="str">
        <f>IFERROR(VLOOKUP(D197,'[1]TT CÁ NHÂN'!$E$3:$F$407,2,FALSE),0)</f>
        <v>nguyenphuoclamsr@gmail.com</v>
      </c>
    </row>
    <row r="198" spans="1:17" s="18" customFormat="1" ht="21" customHeight="1" x14ac:dyDescent="0.25">
      <c r="A198" s="19" t="s">
        <v>40</v>
      </c>
      <c r="B198" s="20">
        <v>196</v>
      </c>
      <c r="C198" s="30" t="s">
        <v>246</v>
      </c>
      <c r="D198" s="22">
        <v>5623462483</v>
      </c>
      <c r="E198" s="23">
        <v>0</v>
      </c>
      <c r="F198" s="23">
        <v>700000</v>
      </c>
      <c r="G198" s="23">
        <v>0</v>
      </c>
      <c r="H198" s="23">
        <v>0</v>
      </c>
      <c r="I198" s="23">
        <v>5623020</v>
      </c>
      <c r="J198" s="23">
        <v>6247800</v>
      </c>
      <c r="K198" s="24">
        <f t="shared" si="9"/>
        <v>12570820</v>
      </c>
      <c r="L198" s="23">
        <v>656019</v>
      </c>
      <c r="M198" s="24">
        <v>15500000</v>
      </c>
      <c r="N198" s="24">
        <f t="shared" si="10"/>
        <v>-3585199</v>
      </c>
      <c r="O198" s="80">
        <f t="shared" si="11"/>
        <v>0</v>
      </c>
      <c r="P198" s="18" t="s">
        <v>637</v>
      </c>
      <c r="Q198" s="18" t="str">
        <f>IFERROR(VLOOKUP(D198,'[1]TT CÁ NHÂN'!$E$3:$F$407,2,FALSE),0)</f>
        <v>nghi0401@gmail.com</v>
      </c>
    </row>
    <row r="199" spans="1:17" s="18" customFormat="1" ht="21" customHeight="1" x14ac:dyDescent="0.25">
      <c r="A199" s="19" t="s">
        <v>61</v>
      </c>
      <c r="B199" s="20">
        <v>197</v>
      </c>
      <c r="C199" s="25" t="s">
        <v>247</v>
      </c>
      <c r="D199" s="22">
        <v>8823321152</v>
      </c>
      <c r="E199" s="23">
        <v>0</v>
      </c>
      <c r="F199" s="23">
        <v>700000</v>
      </c>
      <c r="G199" s="23">
        <v>0</v>
      </c>
      <c r="H199" s="23">
        <v>0</v>
      </c>
      <c r="I199" s="23">
        <v>0</v>
      </c>
      <c r="J199" s="23">
        <v>9009000</v>
      </c>
      <c r="K199" s="24">
        <f t="shared" si="9"/>
        <v>9709000</v>
      </c>
      <c r="L199" s="23">
        <v>945945</v>
      </c>
      <c r="M199" s="24">
        <v>15500000</v>
      </c>
      <c r="N199" s="24">
        <f t="shared" si="10"/>
        <v>-6736945</v>
      </c>
      <c r="O199" s="80">
        <f t="shared" si="11"/>
        <v>0</v>
      </c>
      <c r="P199" s="18" t="s">
        <v>834</v>
      </c>
      <c r="Q199" s="18" t="str">
        <f>IFERROR(VLOOKUP(D199,'[1]TT CÁ NHÂN'!$E$3:$F$407,2,FALSE),0)</f>
        <v>huynhnguyentan2@gmail.com</v>
      </c>
    </row>
    <row r="200" spans="1:17" s="18" customFormat="1" ht="21" customHeight="1" x14ac:dyDescent="0.25">
      <c r="A200" s="19" t="s">
        <v>22</v>
      </c>
      <c r="B200" s="20">
        <v>198</v>
      </c>
      <c r="C200" s="26" t="s">
        <v>248</v>
      </c>
      <c r="D200" s="27">
        <v>5611148878</v>
      </c>
      <c r="E200" s="23">
        <v>100000</v>
      </c>
      <c r="F200" s="23">
        <v>700000</v>
      </c>
      <c r="G200" s="23">
        <v>0</v>
      </c>
      <c r="H200" s="23">
        <v>0</v>
      </c>
      <c r="I200" s="23">
        <v>0</v>
      </c>
      <c r="J200" s="23">
        <v>6879600</v>
      </c>
      <c r="K200" s="24">
        <f t="shared" si="9"/>
        <v>7679600</v>
      </c>
      <c r="L200" s="23">
        <v>722358</v>
      </c>
      <c r="M200" s="24">
        <v>27900000</v>
      </c>
      <c r="N200" s="24">
        <f t="shared" si="10"/>
        <v>-20942758</v>
      </c>
      <c r="O200" s="80">
        <f t="shared" si="11"/>
        <v>0</v>
      </c>
      <c r="P200" s="18">
        <v>0</v>
      </c>
      <c r="Q200" s="18">
        <f>IFERROR(VLOOKUP(D200,'[1]TT CÁ NHÂN'!$E$3:$F$407,2,FALSE),0)</f>
        <v>0</v>
      </c>
    </row>
    <row r="201" spans="1:17" s="18" customFormat="1" ht="21" customHeight="1" x14ac:dyDescent="0.25">
      <c r="A201" s="19" t="s">
        <v>112</v>
      </c>
      <c r="B201" s="20">
        <v>199</v>
      </c>
      <c r="C201" s="26" t="s">
        <v>249</v>
      </c>
      <c r="D201" s="27">
        <v>5610481279</v>
      </c>
      <c r="E201" s="23">
        <v>0</v>
      </c>
      <c r="F201" s="23">
        <v>700000</v>
      </c>
      <c r="G201" s="23">
        <v>0</v>
      </c>
      <c r="H201" s="23">
        <v>0</v>
      </c>
      <c r="I201" s="23">
        <v>9420840</v>
      </c>
      <c r="J201" s="23">
        <v>8564400</v>
      </c>
      <c r="K201" s="24">
        <f t="shared" si="9"/>
        <v>18685240</v>
      </c>
      <c r="L201" s="23">
        <v>899262</v>
      </c>
      <c r="M201" s="24">
        <v>21700000</v>
      </c>
      <c r="N201" s="24">
        <f t="shared" si="10"/>
        <v>-3914022</v>
      </c>
      <c r="O201" s="80">
        <f t="shared" si="11"/>
        <v>0</v>
      </c>
      <c r="P201" s="18" t="s">
        <v>638</v>
      </c>
      <c r="Q201" s="18" t="str">
        <f>IFERROR(VLOOKUP(D201,'[1]TT CÁ NHÂN'!$E$3:$F$407,2,FALSE),0)</f>
        <v>nguyenthaidung281985@gmail.com</v>
      </c>
    </row>
    <row r="202" spans="1:17" s="18" customFormat="1" ht="21" customHeight="1" x14ac:dyDescent="0.25">
      <c r="A202" s="19" t="s">
        <v>27</v>
      </c>
      <c r="B202" s="20">
        <v>200</v>
      </c>
      <c r="C202" s="26" t="s">
        <v>250</v>
      </c>
      <c r="D202" s="27" t="s">
        <v>251</v>
      </c>
      <c r="E202" s="23">
        <v>0</v>
      </c>
      <c r="F202" s="23">
        <v>700000</v>
      </c>
      <c r="G202" s="23">
        <v>0</v>
      </c>
      <c r="H202" s="23">
        <v>0</v>
      </c>
      <c r="I202" s="23">
        <v>8402940</v>
      </c>
      <c r="J202" s="23">
        <v>9336600</v>
      </c>
      <c r="K202" s="24">
        <f t="shared" si="9"/>
        <v>18439540</v>
      </c>
      <c r="L202" s="23">
        <v>980343</v>
      </c>
      <c r="M202" s="24">
        <v>21700000</v>
      </c>
      <c r="N202" s="24">
        <f t="shared" si="10"/>
        <v>-4240803</v>
      </c>
      <c r="O202" s="80">
        <f t="shared" si="11"/>
        <v>0</v>
      </c>
      <c r="P202" s="18" t="s">
        <v>639</v>
      </c>
      <c r="Q202" s="18" t="str">
        <f>IFERROR(VLOOKUP(D202,'[1]TT CÁ NHÂN'!$E$3:$F$407,2,FALSE),0)</f>
        <v>nguyenthaihoaibao@gmail.com</v>
      </c>
    </row>
    <row r="203" spans="1:17" s="18" customFormat="1" ht="21" customHeight="1" x14ac:dyDescent="0.25">
      <c r="A203" s="19" t="s">
        <v>57</v>
      </c>
      <c r="B203" s="20">
        <v>201</v>
      </c>
      <c r="C203" s="26" t="s">
        <v>252</v>
      </c>
      <c r="D203" s="27">
        <v>5611148425</v>
      </c>
      <c r="E203" s="23">
        <v>0</v>
      </c>
      <c r="F203" s="23">
        <v>700000</v>
      </c>
      <c r="G203" s="23">
        <v>0</v>
      </c>
      <c r="H203" s="23">
        <v>0</v>
      </c>
      <c r="I203" s="23">
        <v>7707960</v>
      </c>
      <c r="J203" s="23">
        <v>8564400</v>
      </c>
      <c r="K203" s="24">
        <f t="shared" si="9"/>
        <v>16972360</v>
      </c>
      <c r="L203" s="23">
        <v>899262</v>
      </c>
      <c r="M203" s="24">
        <v>21700000</v>
      </c>
      <c r="N203" s="24">
        <f t="shared" si="10"/>
        <v>-5626902</v>
      </c>
      <c r="O203" s="80">
        <f t="shared" si="11"/>
        <v>0</v>
      </c>
      <c r="P203" s="18" t="s">
        <v>640</v>
      </c>
      <c r="Q203" s="18" t="str">
        <f>IFERROR(VLOOKUP(D203,'[1]TT CÁ NHÂN'!$E$3:$F$407,2,FALSE),0)</f>
        <v>nguyenbinhkdyt@gmail.com</v>
      </c>
    </row>
    <row r="204" spans="1:17" s="18" customFormat="1" ht="21" customHeight="1" x14ac:dyDescent="0.25">
      <c r="A204" s="19" t="s">
        <v>61</v>
      </c>
      <c r="B204" s="20">
        <v>202</v>
      </c>
      <c r="C204" s="25" t="s">
        <v>253</v>
      </c>
      <c r="D204" s="22">
        <v>8833369407</v>
      </c>
      <c r="E204" s="23">
        <v>0</v>
      </c>
      <c r="F204" s="23">
        <v>700000</v>
      </c>
      <c r="G204" s="23">
        <v>0</v>
      </c>
      <c r="H204" s="23">
        <v>0</v>
      </c>
      <c r="I204" s="23">
        <v>0</v>
      </c>
      <c r="J204" s="23">
        <v>9009000</v>
      </c>
      <c r="K204" s="24">
        <f t="shared" si="9"/>
        <v>9709000</v>
      </c>
      <c r="L204" s="23">
        <v>945945</v>
      </c>
      <c r="M204" s="24">
        <v>27900000</v>
      </c>
      <c r="N204" s="24">
        <f t="shared" si="10"/>
        <v>-19136945</v>
      </c>
      <c r="O204" s="80">
        <f t="shared" si="11"/>
        <v>0</v>
      </c>
      <c r="P204" s="18">
        <v>0</v>
      </c>
      <c r="Q204" s="18">
        <f>IFERROR(VLOOKUP(D204,'[1]TT CÁ NHÂN'!$E$3:$F$407,2,FALSE),0)</f>
        <v>0</v>
      </c>
    </row>
    <row r="205" spans="1:17" s="18" customFormat="1" ht="21" customHeight="1" x14ac:dyDescent="0.25">
      <c r="A205" s="19" t="s">
        <v>34</v>
      </c>
      <c r="B205" s="20">
        <v>203</v>
      </c>
      <c r="C205" s="26" t="s">
        <v>254</v>
      </c>
      <c r="D205" s="27">
        <v>5610235519</v>
      </c>
      <c r="E205" s="23">
        <v>0</v>
      </c>
      <c r="F205" s="23">
        <v>700000</v>
      </c>
      <c r="G205" s="23">
        <v>0</v>
      </c>
      <c r="H205" s="23">
        <v>0</v>
      </c>
      <c r="I205" s="23">
        <v>9097920</v>
      </c>
      <c r="J205" s="23">
        <v>10108800</v>
      </c>
      <c r="K205" s="24">
        <f t="shared" si="9"/>
        <v>19906720</v>
      </c>
      <c r="L205" s="23">
        <v>1061424</v>
      </c>
      <c r="M205" s="24">
        <v>15500000</v>
      </c>
      <c r="N205" s="24">
        <f t="shared" si="10"/>
        <v>3345296</v>
      </c>
      <c r="O205" s="80">
        <f t="shared" si="11"/>
        <v>167000</v>
      </c>
      <c r="P205" s="18" t="s">
        <v>641</v>
      </c>
      <c r="Q205" s="18" t="str">
        <f>IFERROR(VLOOKUP(D205,'[1]TT CÁ NHÂN'!$E$3:$F$407,2,FALSE),0)</f>
        <v>sunflower22280@gmail.com</v>
      </c>
    </row>
    <row r="206" spans="1:17" s="18" customFormat="1" ht="21" customHeight="1" x14ac:dyDescent="0.25">
      <c r="A206" s="19" t="s">
        <v>50</v>
      </c>
      <c r="B206" s="20">
        <v>204</v>
      </c>
      <c r="C206" s="25" t="s">
        <v>255</v>
      </c>
      <c r="D206" s="22">
        <v>5620580359</v>
      </c>
      <c r="E206" s="23">
        <v>0</v>
      </c>
      <c r="F206" s="23">
        <v>700000</v>
      </c>
      <c r="G206" s="23">
        <v>0</v>
      </c>
      <c r="H206" s="23">
        <v>0</v>
      </c>
      <c r="I206" s="23">
        <v>0</v>
      </c>
      <c r="J206" s="23">
        <v>8494200</v>
      </c>
      <c r="K206" s="24">
        <f t="shared" si="9"/>
        <v>9194200</v>
      </c>
      <c r="L206" s="23">
        <v>891891</v>
      </c>
      <c r="M206" s="24">
        <v>15500000</v>
      </c>
      <c r="N206" s="24">
        <f t="shared" si="10"/>
        <v>-7197691</v>
      </c>
      <c r="O206" s="80">
        <f t="shared" si="11"/>
        <v>0</v>
      </c>
      <c r="P206" s="18" t="s">
        <v>642</v>
      </c>
      <c r="Q206" s="18" t="str">
        <f>IFERROR(VLOOKUP(D206,'[1]TT CÁ NHÂN'!$E$3:$F$407,2,FALSE),0)</f>
        <v>nguyenthianh050884@gmail.com</v>
      </c>
    </row>
    <row r="207" spans="1:17" s="18" customFormat="1" ht="21" customHeight="1" x14ac:dyDescent="0.25">
      <c r="A207" s="19" t="s">
        <v>64</v>
      </c>
      <c r="B207" s="20">
        <v>205</v>
      </c>
      <c r="C207" s="26" t="s">
        <v>256</v>
      </c>
      <c r="D207" s="27">
        <v>5611149905</v>
      </c>
      <c r="E207" s="23">
        <v>0</v>
      </c>
      <c r="F207" s="23">
        <v>700000</v>
      </c>
      <c r="G207" s="23">
        <v>0</v>
      </c>
      <c r="H207" s="23">
        <v>0</v>
      </c>
      <c r="I207" s="23">
        <v>9097920</v>
      </c>
      <c r="J207" s="23">
        <v>10108800</v>
      </c>
      <c r="K207" s="24">
        <f t="shared" si="9"/>
        <v>19906720</v>
      </c>
      <c r="L207" s="23">
        <v>1061424</v>
      </c>
      <c r="M207" s="24">
        <v>21700000</v>
      </c>
      <c r="N207" s="24">
        <f t="shared" si="10"/>
        <v>-2854704</v>
      </c>
      <c r="O207" s="80">
        <f t="shared" si="11"/>
        <v>0</v>
      </c>
      <c r="P207" s="18" t="s">
        <v>643</v>
      </c>
      <c r="Q207" s="18" t="str">
        <f>IFERROR(VLOOKUP(D207,'[1]TT CÁ NHÂN'!$E$3:$F$407,2,FALSE),0)</f>
        <v>ntanhbinh@gmail.com</v>
      </c>
    </row>
    <row r="208" spans="1:17" s="18" customFormat="1" ht="21" customHeight="1" x14ac:dyDescent="0.25">
      <c r="A208" s="19" t="s">
        <v>22</v>
      </c>
      <c r="B208" s="20">
        <v>206</v>
      </c>
      <c r="C208" s="26" t="s">
        <v>257</v>
      </c>
      <c r="D208" s="27">
        <v>5611149084</v>
      </c>
      <c r="E208" s="23">
        <v>0</v>
      </c>
      <c r="F208" s="23">
        <v>700000</v>
      </c>
      <c r="G208" s="23">
        <v>0</v>
      </c>
      <c r="H208" s="23">
        <v>0</v>
      </c>
      <c r="I208" s="23">
        <v>8634600</v>
      </c>
      <c r="J208" s="23">
        <v>10108800</v>
      </c>
      <c r="K208" s="24">
        <f t="shared" si="9"/>
        <v>19443400</v>
      </c>
      <c r="L208" s="23">
        <v>1061424</v>
      </c>
      <c r="M208" s="24">
        <v>27900000</v>
      </c>
      <c r="N208" s="24">
        <f t="shared" si="10"/>
        <v>-9518024</v>
      </c>
      <c r="O208" s="80">
        <f t="shared" si="11"/>
        <v>0</v>
      </c>
      <c r="P208" s="18" t="s">
        <v>644</v>
      </c>
      <c r="Q208" s="18" t="str">
        <f>IFERROR(VLOOKUP(D208,'[1]TT CÁ NHÂN'!$E$3:$F$407,2,FALSE),0)</f>
        <v>nguyenanhhong1980qv@gmail.com</v>
      </c>
    </row>
    <row r="209" spans="1:17" s="18" customFormat="1" ht="21" customHeight="1" x14ac:dyDescent="0.25">
      <c r="A209" s="19" t="s">
        <v>112</v>
      </c>
      <c r="B209" s="20">
        <v>207</v>
      </c>
      <c r="C209" s="26" t="s">
        <v>258</v>
      </c>
      <c r="D209" s="27">
        <v>5610080126</v>
      </c>
      <c r="E209" s="23">
        <v>0</v>
      </c>
      <c r="F209" s="23">
        <v>700000</v>
      </c>
      <c r="G209" s="23">
        <v>0</v>
      </c>
      <c r="H209" s="23">
        <v>0</v>
      </c>
      <c r="I209" s="23">
        <v>9792900</v>
      </c>
      <c r="J209" s="23">
        <v>10881000</v>
      </c>
      <c r="K209" s="24">
        <f t="shared" si="9"/>
        <v>21373900</v>
      </c>
      <c r="L209" s="23">
        <v>1142505</v>
      </c>
      <c r="M209" s="24">
        <v>34100000</v>
      </c>
      <c r="N209" s="24">
        <f t="shared" si="10"/>
        <v>-13868605</v>
      </c>
      <c r="O209" s="80">
        <f t="shared" si="11"/>
        <v>0</v>
      </c>
      <c r="P209" s="18" t="s">
        <v>645</v>
      </c>
      <c r="Q209" s="18" t="str">
        <f>IFERROR(VLOOKUP(D209,'[1]TT CÁ NHÂN'!$E$3:$F$407,2,FALSE),0)</f>
        <v>anhthotai@gmail.com</v>
      </c>
    </row>
    <row r="210" spans="1:17" s="18" customFormat="1" ht="21" customHeight="1" x14ac:dyDescent="0.25">
      <c r="A210" s="19" t="s">
        <v>27</v>
      </c>
      <c r="B210" s="20">
        <v>208</v>
      </c>
      <c r="C210" s="25" t="s">
        <v>259</v>
      </c>
      <c r="D210" s="22">
        <v>5620231453</v>
      </c>
      <c r="E210" s="23">
        <v>0</v>
      </c>
      <c r="F210" s="23">
        <v>700000</v>
      </c>
      <c r="G210" s="23">
        <v>0</v>
      </c>
      <c r="H210" s="23">
        <v>0</v>
      </c>
      <c r="I210" s="23">
        <v>7707960</v>
      </c>
      <c r="J210" s="23">
        <v>8564400</v>
      </c>
      <c r="K210" s="24">
        <f t="shared" si="9"/>
        <v>16972360</v>
      </c>
      <c r="L210" s="23">
        <v>899262</v>
      </c>
      <c r="M210" s="24">
        <v>27900000</v>
      </c>
      <c r="N210" s="24">
        <f t="shared" si="10"/>
        <v>-11826902</v>
      </c>
      <c r="O210" s="80">
        <f t="shared" si="11"/>
        <v>0</v>
      </c>
      <c r="P210" s="18" t="s">
        <v>646</v>
      </c>
      <c r="Q210" s="18" t="str">
        <f>IFERROR(VLOOKUP(D210,'[1]TT CÁ NHÂN'!$E$3:$F$407,2,FALSE),0)</f>
        <v>bgiang1201@gmail.com</v>
      </c>
    </row>
    <row r="211" spans="1:17" s="18" customFormat="1" ht="21" customHeight="1" x14ac:dyDescent="0.25">
      <c r="A211" s="19" t="s">
        <v>102</v>
      </c>
      <c r="B211" s="20">
        <v>209</v>
      </c>
      <c r="C211" s="26" t="s">
        <v>260</v>
      </c>
      <c r="D211" s="27">
        <v>5610225769</v>
      </c>
      <c r="E211" s="23">
        <v>320000</v>
      </c>
      <c r="F211" s="23">
        <v>700000</v>
      </c>
      <c r="G211" s="23">
        <v>0</v>
      </c>
      <c r="H211" s="23">
        <v>0</v>
      </c>
      <c r="I211" s="23">
        <v>10845900</v>
      </c>
      <c r="J211" s="23">
        <v>12051000</v>
      </c>
      <c r="K211" s="24">
        <f t="shared" si="9"/>
        <v>23916900</v>
      </c>
      <c r="L211" s="23">
        <v>1265355</v>
      </c>
      <c r="M211" s="24">
        <v>27900000</v>
      </c>
      <c r="N211" s="24">
        <f t="shared" si="10"/>
        <v>-5248455</v>
      </c>
      <c r="O211" s="80">
        <f t="shared" si="11"/>
        <v>0</v>
      </c>
      <c r="P211" s="18" t="s">
        <v>647</v>
      </c>
      <c r="Q211" s="18" t="str">
        <f>IFERROR(VLOOKUP(D211,'[1]TT CÁ NHÂN'!$E$3:$F$407,2,FALSE),0)</f>
        <v>thuykhanhlinh2007@gmail.com.vn</v>
      </c>
    </row>
    <row r="212" spans="1:17" s="18" customFormat="1" ht="21" customHeight="1" x14ac:dyDescent="0.25">
      <c r="A212" s="19" t="s">
        <v>80</v>
      </c>
      <c r="B212" s="20">
        <v>210</v>
      </c>
      <c r="C212" s="25" t="s">
        <v>261</v>
      </c>
      <c r="D212" s="22">
        <v>5620580270</v>
      </c>
      <c r="E212" s="23">
        <v>0</v>
      </c>
      <c r="F212" s="23">
        <v>700000</v>
      </c>
      <c r="G212" s="23">
        <v>0</v>
      </c>
      <c r="H212" s="23">
        <v>0</v>
      </c>
      <c r="I212" s="23">
        <v>9097920</v>
      </c>
      <c r="J212" s="23">
        <v>10108800</v>
      </c>
      <c r="K212" s="24">
        <f t="shared" si="9"/>
        <v>19906720</v>
      </c>
      <c r="L212" s="23">
        <v>1061424</v>
      </c>
      <c r="M212" s="24">
        <v>27900000</v>
      </c>
      <c r="N212" s="24">
        <f t="shared" si="10"/>
        <v>-9054704</v>
      </c>
      <c r="O212" s="80">
        <f t="shared" si="11"/>
        <v>0</v>
      </c>
      <c r="P212" s="18" t="s">
        <v>648</v>
      </c>
      <c r="Q212" s="18" t="str">
        <f>IFERROR(VLOOKUP(D212,'[1]TT CÁ NHÂN'!$E$3:$F$407,2,FALSE),0)</f>
        <v>nguyenthidecdc@gmail.com</v>
      </c>
    </row>
    <row r="213" spans="1:17" s="18" customFormat="1" ht="21" customHeight="1" x14ac:dyDescent="0.25">
      <c r="A213" s="19" t="s">
        <v>57</v>
      </c>
      <c r="B213" s="20">
        <v>211</v>
      </c>
      <c r="C213" s="26" t="s">
        <v>262</v>
      </c>
      <c r="D213" s="27">
        <v>5610225981</v>
      </c>
      <c r="E213" s="23">
        <v>0</v>
      </c>
      <c r="F213" s="23">
        <v>700000</v>
      </c>
      <c r="G213" s="23">
        <v>0</v>
      </c>
      <c r="H213" s="23">
        <v>0</v>
      </c>
      <c r="I213" s="23">
        <v>9792900</v>
      </c>
      <c r="J213" s="23">
        <v>10881000</v>
      </c>
      <c r="K213" s="24">
        <f t="shared" si="9"/>
        <v>21373900</v>
      </c>
      <c r="L213" s="23">
        <v>1142505</v>
      </c>
      <c r="M213" s="24">
        <v>21700000</v>
      </c>
      <c r="N213" s="24">
        <f t="shared" si="10"/>
        <v>-1468605</v>
      </c>
      <c r="O213" s="80">
        <f t="shared" si="11"/>
        <v>0</v>
      </c>
      <c r="P213" s="18" t="s">
        <v>649</v>
      </c>
      <c r="Q213" s="18" t="str">
        <f>IFERROR(VLOOKUP(D213,'[1]TT CÁ NHÂN'!$E$3:$F$407,2,FALSE),0)</f>
        <v>hanguyen.280174@gmail.com</v>
      </c>
    </row>
    <row r="214" spans="1:17" s="18" customFormat="1" ht="21" customHeight="1" x14ac:dyDescent="0.25">
      <c r="A214" s="50" t="s">
        <v>61</v>
      </c>
      <c r="B214" s="20">
        <v>212</v>
      </c>
      <c r="C214" s="25" t="s">
        <v>263</v>
      </c>
      <c r="D214" s="22">
        <v>5623456477</v>
      </c>
      <c r="E214" s="23">
        <v>0</v>
      </c>
      <c r="F214" s="23">
        <v>700000</v>
      </c>
      <c r="G214" s="23">
        <v>0</v>
      </c>
      <c r="H214" s="23">
        <v>0</v>
      </c>
      <c r="I214" s="23">
        <v>6318000</v>
      </c>
      <c r="J214" s="23">
        <v>7020000</v>
      </c>
      <c r="K214" s="24">
        <f t="shared" si="9"/>
        <v>14038000</v>
      </c>
      <c r="L214" s="23">
        <v>737100</v>
      </c>
      <c r="M214" s="24">
        <v>15500000</v>
      </c>
      <c r="N214" s="24">
        <f t="shared" si="10"/>
        <v>-2199100</v>
      </c>
      <c r="O214" s="80">
        <f t="shared" si="11"/>
        <v>0</v>
      </c>
      <c r="P214" s="18" t="s">
        <v>650</v>
      </c>
      <c r="Q214" s="18" t="str">
        <f>IFERROR(VLOOKUP(D214,'[1]TT CÁ NHÂN'!$E$3:$F$407,2,FALSE),0)</f>
        <v>havynguyen1987@gmail.com</v>
      </c>
    </row>
    <row r="215" spans="1:17" s="18" customFormat="1" ht="21" customHeight="1" x14ac:dyDescent="0.25">
      <c r="A215" s="19" t="s">
        <v>50</v>
      </c>
      <c r="B215" s="20">
        <v>213</v>
      </c>
      <c r="C215" s="26" t="s">
        <v>264</v>
      </c>
      <c r="D215" s="27">
        <v>5611150031</v>
      </c>
      <c r="E215" s="23">
        <v>0</v>
      </c>
      <c r="F215" s="23">
        <v>700000</v>
      </c>
      <c r="G215" s="23">
        <v>0</v>
      </c>
      <c r="H215" s="23">
        <v>0</v>
      </c>
      <c r="I215" s="23">
        <v>9645480</v>
      </c>
      <c r="J215" s="23">
        <v>10717200</v>
      </c>
      <c r="K215" s="24">
        <f t="shared" si="9"/>
        <v>21062680</v>
      </c>
      <c r="L215" s="23">
        <v>1125306</v>
      </c>
      <c r="M215" s="24">
        <v>15500000</v>
      </c>
      <c r="N215" s="24">
        <f t="shared" si="10"/>
        <v>4437374</v>
      </c>
      <c r="O215" s="80">
        <f t="shared" si="11"/>
        <v>222000</v>
      </c>
      <c r="P215" s="18" t="s">
        <v>651</v>
      </c>
      <c r="Q215" s="18" t="str">
        <f>IFERROR(VLOOKUP(D215,'[1]TT CÁ NHÂN'!$E$3:$F$407,2,FALSE),0)</f>
        <v>hiennguyenthi27041975@gmail.com</v>
      </c>
    </row>
    <row r="216" spans="1:17" s="18" customFormat="1" ht="21" customHeight="1" x14ac:dyDescent="0.25">
      <c r="A216" s="19" t="s">
        <v>64</v>
      </c>
      <c r="B216" s="20">
        <v>214</v>
      </c>
      <c r="C216" s="26" t="s">
        <v>265</v>
      </c>
      <c r="D216" s="27">
        <v>5611148841</v>
      </c>
      <c r="E216" s="23">
        <v>0</v>
      </c>
      <c r="F216" s="23">
        <v>700000</v>
      </c>
      <c r="G216" s="23">
        <v>0</v>
      </c>
      <c r="H216" s="23">
        <v>0</v>
      </c>
      <c r="I216" s="23">
        <v>7686900</v>
      </c>
      <c r="J216" s="23">
        <v>8541000</v>
      </c>
      <c r="K216" s="24">
        <f t="shared" si="9"/>
        <v>16927900</v>
      </c>
      <c r="L216" s="23">
        <v>896805</v>
      </c>
      <c r="M216" s="24">
        <v>27900000</v>
      </c>
      <c r="N216" s="24">
        <f t="shared" si="10"/>
        <v>-11868905</v>
      </c>
      <c r="O216" s="80">
        <f t="shared" si="11"/>
        <v>0</v>
      </c>
      <c r="P216" s="18" t="s">
        <v>652</v>
      </c>
      <c r="Q216" s="18" t="str">
        <f>IFERROR(VLOOKUP(D216,'[1]TT CÁ NHÂN'!$E$3:$F$407,2,FALSE),0)</f>
        <v>hiepnguyen1811ptv@gmail.com</v>
      </c>
    </row>
    <row r="217" spans="1:17" s="18" customFormat="1" ht="21" customHeight="1" x14ac:dyDescent="0.25">
      <c r="A217" s="19" t="s">
        <v>57</v>
      </c>
      <c r="B217" s="20">
        <v>215</v>
      </c>
      <c r="C217" s="26" t="s">
        <v>266</v>
      </c>
      <c r="D217" s="27">
        <v>5610603107</v>
      </c>
      <c r="E217" s="23">
        <v>0</v>
      </c>
      <c r="F217" s="23">
        <v>700000</v>
      </c>
      <c r="G217" s="23">
        <v>0</v>
      </c>
      <c r="H217" s="23">
        <v>0</v>
      </c>
      <c r="I217" s="23">
        <v>7707960</v>
      </c>
      <c r="J217" s="23">
        <v>8564400</v>
      </c>
      <c r="K217" s="24">
        <f t="shared" si="9"/>
        <v>16972360</v>
      </c>
      <c r="L217" s="23">
        <v>899262</v>
      </c>
      <c r="M217" s="24">
        <v>15500000</v>
      </c>
      <c r="N217" s="24">
        <f t="shared" si="10"/>
        <v>573098</v>
      </c>
      <c r="O217" s="80">
        <f t="shared" si="11"/>
        <v>29000</v>
      </c>
      <c r="P217" s="18" t="s">
        <v>653</v>
      </c>
      <c r="Q217" s="18" t="str">
        <f>IFERROR(VLOOKUP(D217,'[1]TT CÁ NHÂN'!$E$3:$F$407,2,FALSE),0)</f>
        <v>nguyenhoaithu211088@gmail.com</v>
      </c>
    </row>
    <row r="218" spans="1:17" s="18" customFormat="1" ht="21" customHeight="1" x14ac:dyDescent="0.25">
      <c r="A218" s="19" t="s">
        <v>27</v>
      </c>
      <c r="B218" s="20">
        <v>216</v>
      </c>
      <c r="C218" s="26" t="s">
        <v>267</v>
      </c>
      <c r="D218" s="27" t="s">
        <v>268</v>
      </c>
      <c r="E218" s="23">
        <v>0</v>
      </c>
      <c r="F218" s="23">
        <v>700000</v>
      </c>
      <c r="G218" s="23">
        <v>0</v>
      </c>
      <c r="H218" s="23">
        <v>0</v>
      </c>
      <c r="I218" s="23">
        <v>8760960</v>
      </c>
      <c r="J218" s="23">
        <v>10506600</v>
      </c>
      <c r="K218" s="24">
        <f t="shared" si="9"/>
        <v>19967560</v>
      </c>
      <c r="L218" s="23">
        <v>1103193</v>
      </c>
      <c r="M218" s="24">
        <v>27900000</v>
      </c>
      <c r="N218" s="24">
        <f t="shared" si="10"/>
        <v>-9035633</v>
      </c>
      <c r="O218" s="80">
        <f t="shared" si="11"/>
        <v>0</v>
      </c>
      <c r="P218" s="18" t="s">
        <v>833</v>
      </c>
      <c r="Q218" s="18" t="str">
        <f>IFERROR(VLOOKUP(D218,'[1]TT CÁ NHÂN'!$E$3:$F$407,2,FALSE),0)</f>
        <v>nguyenthihoangtrinh25@gmail.com</v>
      </c>
    </row>
    <row r="219" spans="1:17" s="18" customFormat="1" ht="21" customHeight="1" x14ac:dyDescent="0.25">
      <c r="A219" s="50" t="s">
        <v>61</v>
      </c>
      <c r="B219" s="20">
        <v>217</v>
      </c>
      <c r="C219" s="25" t="s">
        <v>269</v>
      </c>
      <c r="D219" s="22">
        <v>5623447912</v>
      </c>
      <c r="E219" s="23">
        <v>0</v>
      </c>
      <c r="F219" s="23">
        <v>700000</v>
      </c>
      <c r="G219" s="23">
        <v>0</v>
      </c>
      <c r="H219" s="23">
        <v>0</v>
      </c>
      <c r="I219" s="23">
        <v>7354620</v>
      </c>
      <c r="J219" s="23">
        <v>10506600</v>
      </c>
      <c r="K219" s="24">
        <f t="shared" si="9"/>
        <v>18561220</v>
      </c>
      <c r="L219" s="23">
        <v>1103193</v>
      </c>
      <c r="M219" s="24">
        <v>27900000</v>
      </c>
      <c r="N219" s="24">
        <f t="shared" si="10"/>
        <v>-10441973</v>
      </c>
      <c r="O219" s="80">
        <f t="shared" si="11"/>
        <v>0</v>
      </c>
      <c r="P219" s="18" t="s">
        <v>654</v>
      </c>
      <c r="Q219" s="18" t="str">
        <f>IFERROR(VLOOKUP(D219,'[1]TT CÁ NHÂN'!$E$3:$F$407,2,FALSE),0)</f>
        <v>hoangvietcdc0710@gmail.com</v>
      </c>
    </row>
    <row r="220" spans="1:17" s="18" customFormat="1" ht="21" customHeight="1" x14ac:dyDescent="0.25">
      <c r="A220" s="19" t="s">
        <v>80</v>
      </c>
      <c r="B220" s="20">
        <v>218</v>
      </c>
      <c r="C220" s="26" t="s">
        <v>270</v>
      </c>
      <c r="D220" s="27">
        <v>5611148179</v>
      </c>
      <c r="E220" s="23">
        <v>0</v>
      </c>
      <c r="F220" s="23">
        <v>700000</v>
      </c>
      <c r="G220" s="23">
        <v>0</v>
      </c>
      <c r="H220" s="23">
        <v>0</v>
      </c>
      <c r="I220" s="23">
        <v>10150920</v>
      </c>
      <c r="J220" s="23">
        <v>11278800</v>
      </c>
      <c r="K220" s="24">
        <f t="shared" si="9"/>
        <v>22129720</v>
      </c>
      <c r="L220" s="23">
        <v>1184274</v>
      </c>
      <c r="M220" s="24">
        <v>27900000</v>
      </c>
      <c r="N220" s="24">
        <f t="shared" si="10"/>
        <v>-6954554</v>
      </c>
      <c r="O220" s="80">
        <f t="shared" si="11"/>
        <v>0</v>
      </c>
      <c r="P220" s="18" t="s">
        <v>655</v>
      </c>
      <c r="Q220" s="18" t="str">
        <f>IFERROR(VLOOKUP(D220,'[1]TT CÁ NHÂN'!$E$3:$F$407,2,FALSE),0)</f>
        <v>yeens81@gmail.com</v>
      </c>
    </row>
    <row r="221" spans="1:17" s="18" customFormat="1" ht="21" customHeight="1" x14ac:dyDescent="0.25">
      <c r="A221" s="19" t="s">
        <v>71</v>
      </c>
      <c r="B221" s="20">
        <v>219</v>
      </c>
      <c r="C221" s="26" t="s">
        <v>271</v>
      </c>
      <c r="D221" s="27">
        <v>5611611343</v>
      </c>
      <c r="E221" s="23">
        <v>160000</v>
      </c>
      <c r="F221" s="23">
        <v>700000</v>
      </c>
      <c r="G221" s="23">
        <v>0</v>
      </c>
      <c r="H221" s="23">
        <v>0</v>
      </c>
      <c r="I221" s="23">
        <v>0</v>
      </c>
      <c r="J221" s="23">
        <v>3931200</v>
      </c>
      <c r="K221" s="24">
        <f t="shared" si="9"/>
        <v>4791200</v>
      </c>
      <c r="L221" s="23">
        <v>412776</v>
      </c>
      <c r="M221" s="24">
        <v>15500000</v>
      </c>
      <c r="N221" s="24">
        <f t="shared" si="10"/>
        <v>-11121576</v>
      </c>
      <c r="O221" s="80">
        <f t="shared" si="11"/>
        <v>0</v>
      </c>
      <c r="P221" s="18" t="s">
        <v>832</v>
      </c>
      <c r="Q221" s="18" t="str">
        <f>IFERROR(VLOOKUP(D221,'[1]TT CÁ NHÂN'!$E$3:$F$407,2,FALSE),0)</f>
        <v>hhnguyen0408@gmail.com</v>
      </c>
    </row>
    <row r="222" spans="1:17" s="18" customFormat="1" ht="21" customHeight="1" x14ac:dyDescent="0.25">
      <c r="A222" s="19" t="s">
        <v>50</v>
      </c>
      <c r="B222" s="20">
        <v>220</v>
      </c>
      <c r="C222" s="25" t="s">
        <v>272</v>
      </c>
      <c r="D222" s="22">
        <v>5623449024</v>
      </c>
      <c r="E222" s="23">
        <v>334000</v>
      </c>
      <c r="F222" s="23">
        <v>700000</v>
      </c>
      <c r="G222" s="23">
        <v>0</v>
      </c>
      <c r="H222" s="23">
        <v>0</v>
      </c>
      <c r="I222" s="23">
        <v>6318000</v>
      </c>
      <c r="J222" s="23">
        <v>7020000</v>
      </c>
      <c r="K222" s="24">
        <f t="shared" si="9"/>
        <v>14372000</v>
      </c>
      <c r="L222" s="23">
        <v>737100</v>
      </c>
      <c r="M222" s="24">
        <v>15500000</v>
      </c>
      <c r="N222" s="24">
        <f t="shared" si="10"/>
        <v>-1865100</v>
      </c>
      <c r="O222" s="80">
        <f t="shared" si="11"/>
        <v>0</v>
      </c>
      <c r="P222" s="18" t="s">
        <v>656</v>
      </c>
      <c r="Q222" s="18" t="str">
        <f>IFERROR(VLOOKUP(D222,'[1]TT CÁ NHÂN'!$E$3:$F$407,2,FALSE),0)</f>
        <v>nhshuyen@gmail.com</v>
      </c>
    </row>
    <row r="223" spans="1:17" s="18" customFormat="1" ht="21" customHeight="1" x14ac:dyDescent="0.25">
      <c r="A223" s="19" t="s">
        <v>50</v>
      </c>
      <c r="B223" s="20">
        <v>221</v>
      </c>
      <c r="C223" s="26" t="s">
        <v>273</v>
      </c>
      <c r="D223" s="27">
        <v>5611149969</v>
      </c>
      <c r="E223" s="23">
        <v>0</v>
      </c>
      <c r="F223" s="23">
        <v>700000</v>
      </c>
      <c r="G223" s="23">
        <v>0</v>
      </c>
      <c r="H223" s="23">
        <v>0</v>
      </c>
      <c r="I223" s="23">
        <v>0</v>
      </c>
      <c r="J223" s="23">
        <v>8541000</v>
      </c>
      <c r="K223" s="24">
        <f t="shared" si="9"/>
        <v>9241000</v>
      </c>
      <c r="L223" s="23">
        <v>896805</v>
      </c>
      <c r="M223" s="24">
        <v>27900000</v>
      </c>
      <c r="N223" s="24">
        <f t="shared" si="10"/>
        <v>-19555805</v>
      </c>
      <c r="O223" s="80">
        <f t="shared" si="11"/>
        <v>0</v>
      </c>
      <c r="P223" s="18" t="s">
        <v>657</v>
      </c>
      <c r="Q223" s="18" t="str">
        <f>IFERROR(VLOOKUP(D223,'[1]TT CÁ NHÂN'!$E$3:$F$407,2,FALSE),0)</f>
        <v>nguyenkhanhhong299@gmail.com</v>
      </c>
    </row>
    <row r="224" spans="1:17" s="18" customFormat="1" ht="21" customHeight="1" x14ac:dyDescent="0.25">
      <c r="A224" s="19" t="s">
        <v>22</v>
      </c>
      <c r="B224" s="20">
        <v>222</v>
      </c>
      <c r="C224" s="31" t="s">
        <v>274</v>
      </c>
      <c r="D224" s="22">
        <v>5623455261</v>
      </c>
      <c r="E224" s="23">
        <v>0</v>
      </c>
      <c r="F224" s="23">
        <v>700000</v>
      </c>
      <c r="G224" s="23">
        <v>0</v>
      </c>
      <c r="H224" s="23">
        <v>0</v>
      </c>
      <c r="I224" s="23">
        <v>6318000</v>
      </c>
      <c r="J224" s="23">
        <v>7020000</v>
      </c>
      <c r="K224" s="24">
        <f t="shared" si="9"/>
        <v>14038000</v>
      </c>
      <c r="L224" s="23">
        <v>737100</v>
      </c>
      <c r="M224" s="24">
        <v>15500000</v>
      </c>
      <c r="N224" s="24">
        <f t="shared" si="10"/>
        <v>-2199100</v>
      </c>
      <c r="O224" s="80">
        <f t="shared" si="11"/>
        <v>0</v>
      </c>
      <c r="P224" s="18" t="s">
        <v>658</v>
      </c>
      <c r="Q224" s="18" t="str">
        <f>IFERROR(VLOOKUP(D224,'[1]TT CÁ NHÂN'!$E$3:$F$407,2,FALSE),0)</f>
        <v>nguyenkhuyen102014@gmail.com</v>
      </c>
    </row>
    <row r="225" spans="1:17" s="18" customFormat="1" ht="21" customHeight="1" x14ac:dyDescent="0.25">
      <c r="A225" s="19" t="s">
        <v>31</v>
      </c>
      <c r="B225" s="20">
        <v>223</v>
      </c>
      <c r="C225" s="26" t="s">
        <v>275</v>
      </c>
      <c r="D225" s="27">
        <v>5611150925</v>
      </c>
      <c r="E225" s="23">
        <v>0</v>
      </c>
      <c r="F225" s="23">
        <v>700000</v>
      </c>
      <c r="G225" s="23">
        <v>0</v>
      </c>
      <c r="H225" s="23">
        <v>0</v>
      </c>
      <c r="I225" s="23">
        <v>5623020</v>
      </c>
      <c r="J225" s="23">
        <v>6247800</v>
      </c>
      <c r="K225" s="24">
        <f t="shared" si="9"/>
        <v>12570820</v>
      </c>
      <c r="L225" s="23">
        <v>656019</v>
      </c>
      <c r="M225" s="24">
        <v>27900000</v>
      </c>
      <c r="N225" s="24">
        <f t="shared" si="10"/>
        <v>-15985199</v>
      </c>
      <c r="O225" s="80">
        <f t="shared" si="11"/>
        <v>0</v>
      </c>
      <c r="P225" s="18" t="s">
        <v>659</v>
      </c>
      <c r="Q225" s="18" t="str">
        <f>IFERROR(VLOOKUP(D225,'[1]TT CÁ NHÂN'!$E$3:$F$407,2,FALSE),0)</f>
        <v>kimanh16102911@gmail.com</v>
      </c>
    </row>
    <row r="226" spans="1:17" s="18" customFormat="1" ht="21" customHeight="1" x14ac:dyDescent="0.25">
      <c r="A226" s="19" t="s">
        <v>61</v>
      </c>
      <c r="B226" s="20">
        <v>224</v>
      </c>
      <c r="C226" s="26" t="s">
        <v>276</v>
      </c>
      <c r="D226" s="27">
        <v>8817395546</v>
      </c>
      <c r="E226" s="23">
        <v>0</v>
      </c>
      <c r="F226" s="23">
        <v>700000</v>
      </c>
      <c r="G226" s="23">
        <v>0</v>
      </c>
      <c r="H226" s="23">
        <v>0</v>
      </c>
      <c r="I226" s="23">
        <v>4928040</v>
      </c>
      <c r="J226" s="23">
        <v>5475600</v>
      </c>
      <c r="K226" s="24">
        <f t="shared" si="9"/>
        <v>11103640</v>
      </c>
      <c r="L226" s="23">
        <v>574938</v>
      </c>
      <c r="M226" s="24">
        <v>15500000</v>
      </c>
      <c r="N226" s="24">
        <f t="shared" si="10"/>
        <v>-4971298</v>
      </c>
      <c r="O226" s="80">
        <f t="shared" si="11"/>
        <v>0</v>
      </c>
      <c r="P226" s="18" t="s">
        <v>660</v>
      </c>
      <c r="Q226" s="18" t="str">
        <f>IFERROR(VLOOKUP(D226,'[1]TT CÁ NHÂN'!$E$3:$F$407,2,FALSE),0)</f>
        <v>hoanntk@danang.gov.vn</v>
      </c>
    </row>
    <row r="227" spans="1:17" s="18" customFormat="1" ht="21" customHeight="1" x14ac:dyDescent="0.25">
      <c r="A227" s="19" t="s">
        <v>27</v>
      </c>
      <c r="B227" s="20">
        <v>225</v>
      </c>
      <c r="C227" s="41" t="s">
        <v>277</v>
      </c>
      <c r="D227" s="22">
        <v>8833373281</v>
      </c>
      <c r="E227" s="23">
        <v>0</v>
      </c>
      <c r="F227" s="23">
        <v>700000</v>
      </c>
      <c r="G227" s="23">
        <v>0</v>
      </c>
      <c r="H227" s="23">
        <v>0</v>
      </c>
      <c r="I227" s="23">
        <v>9148885</v>
      </c>
      <c r="J227" s="23">
        <v>10165428</v>
      </c>
      <c r="K227" s="24">
        <f t="shared" si="9"/>
        <v>20014313</v>
      </c>
      <c r="L227" s="23">
        <v>1067370</v>
      </c>
      <c r="M227" s="24">
        <v>15500000</v>
      </c>
      <c r="N227" s="24">
        <f t="shared" si="10"/>
        <v>3446943</v>
      </c>
      <c r="O227" s="80">
        <f t="shared" si="11"/>
        <v>172000</v>
      </c>
      <c r="P227" s="18" t="s">
        <v>661</v>
      </c>
      <c r="Q227" s="18" t="str">
        <f>IFERROR(VLOOKUP(D227,'[1]TT CÁ NHÂN'!$E$3:$F$407,2,FALSE),0)</f>
        <v>kimliennguyen1541970@gmail.com</v>
      </c>
    </row>
    <row r="228" spans="1:17" s="18" customFormat="1" ht="21" customHeight="1" x14ac:dyDescent="0.25">
      <c r="A228" s="19" t="s">
        <v>157</v>
      </c>
      <c r="B228" s="20">
        <v>226</v>
      </c>
      <c r="C228" s="26" t="s">
        <v>278</v>
      </c>
      <c r="D228" s="27">
        <v>5610543984</v>
      </c>
      <c r="E228" s="23">
        <v>0</v>
      </c>
      <c r="F228" s="23">
        <v>700000</v>
      </c>
      <c r="G228" s="23">
        <v>0</v>
      </c>
      <c r="H228" s="23">
        <v>0</v>
      </c>
      <c r="I228" s="23">
        <v>7707960</v>
      </c>
      <c r="J228" s="23">
        <v>8564400</v>
      </c>
      <c r="K228" s="24">
        <f t="shared" si="9"/>
        <v>16972360</v>
      </c>
      <c r="L228" s="23">
        <v>899262</v>
      </c>
      <c r="M228" s="24">
        <v>15500000</v>
      </c>
      <c r="N228" s="24">
        <f t="shared" si="10"/>
        <v>573098</v>
      </c>
      <c r="O228" s="80">
        <f t="shared" si="11"/>
        <v>29000</v>
      </c>
      <c r="P228" s="18" t="s">
        <v>662</v>
      </c>
      <c r="Q228" s="18" t="str">
        <f>IFERROR(VLOOKUP(D228,'[1]TT CÁ NHÂN'!$E$3:$F$407,2,FALSE),0)</f>
        <v>loan190004@gmail.com</v>
      </c>
    </row>
    <row r="229" spans="1:17" s="18" customFormat="1" ht="21" customHeight="1" x14ac:dyDescent="0.25">
      <c r="A229" s="19" t="s">
        <v>44</v>
      </c>
      <c r="B229" s="20">
        <v>227</v>
      </c>
      <c r="C229" s="26" t="s">
        <v>279</v>
      </c>
      <c r="D229" s="27" t="s">
        <v>280</v>
      </c>
      <c r="E229" s="23">
        <v>0</v>
      </c>
      <c r="F229" s="23">
        <v>700000</v>
      </c>
      <c r="G229" s="23">
        <v>0</v>
      </c>
      <c r="H229" s="23">
        <v>0</v>
      </c>
      <c r="I229" s="23">
        <v>4928040</v>
      </c>
      <c r="J229" s="23">
        <v>5475600</v>
      </c>
      <c r="K229" s="24">
        <f t="shared" si="9"/>
        <v>11103640</v>
      </c>
      <c r="L229" s="23">
        <v>574938</v>
      </c>
      <c r="M229" s="24">
        <v>15500000</v>
      </c>
      <c r="N229" s="24">
        <f t="shared" si="10"/>
        <v>-4971298</v>
      </c>
      <c r="O229" s="80">
        <f t="shared" si="11"/>
        <v>0</v>
      </c>
      <c r="P229" s="18" t="s">
        <v>663</v>
      </c>
      <c r="Q229" s="18" t="str">
        <f>IFERROR(VLOOKUP(D229,'[1]TT CÁ NHÂN'!$E$3:$F$407,2,FALSE),0)</f>
        <v>kimphu7998@gmail.com</v>
      </c>
    </row>
    <row r="230" spans="1:17" s="18" customFormat="1" ht="21" customHeight="1" x14ac:dyDescent="0.25">
      <c r="A230" s="19" t="s">
        <v>64</v>
      </c>
      <c r="B230" s="20">
        <v>228</v>
      </c>
      <c r="C230" s="31" t="s">
        <v>281</v>
      </c>
      <c r="D230" s="22">
        <v>5623448058</v>
      </c>
      <c r="E230" s="23">
        <v>0</v>
      </c>
      <c r="F230" s="23">
        <v>700000</v>
      </c>
      <c r="G230" s="23">
        <v>0</v>
      </c>
      <c r="H230" s="23">
        <v>0</v>
      </c>
      <c r="I230" s="23">
        <v>6163560</v>
      </c>
      <c r="J230" s="23">
        <v>7090200</v>
      </c>
      <c r="K230" s="24">
        <f t="shared" si="9"/>
        <v>13953760</v>
      </c>
      <c r="L230" s="23">
        <v>744471</v>
      </c>
      <c r="M230" s="24">
        <v>27900000</v>
      </c>
      <c r="N230" s="24">
        <f t="shared" si="10"/>
        <v>-14690711</v>
      </c>
      <c r="O230" s="80">
        <f t="shared" si="11"/>
        <v>0</v>
      </c>
      <c r="P230" s="18" t="s">
        <v>664</v>
      </c>
      <c r="Q230" s="18" t="str">
        <f>IFERROR(VLOOKUP(D230,'[1]TT CÁ NHÂN'!$E$3:$F$407,2,FALSE),0)</f>
        <v>kimqui630@gmail.com</v>
      </c>
    </row>
    <row r="231" spans="1:17" s="18" customFormat="1" ht="21" customHeight="1" x14ac:dyDescent="0.25">
      <c r="A231" s="19" t="s">
        <v>27</v>
      </c>
      <c r="B231" s="20">
        <v>229</v>
      </c>
      <c r="C231" s="41" t="s">
        <v>282</v>
      </c>
      <c r="D231" s="29">
        <v>8813373274</v>
      </c>
      <c r="E231" s="23">
        <v>0</v>
      </c>
      <c r="F231" s="23">
        <v>700000</v>
      </c>
      <c r="G231" s="23">
        <v>0</v>
      </c>
      <c r="H231" s="23">
        <v>0</v>
      </c>
      <c r="I231" s="23">
        <v>0</v>
      </c>
      <c r="J231" s="23">
        <v>6809400</v>
      </c>
      <c r="K231" s="24">
        <f t="shared" si="9"/>
        <v>7509400</v>
      </c>
      <c r="L231" s="23">
        <v>714987</v>
      </c>
      <c r="M231" s="24">
        <v>21700000</v>
      </c>
      <c r="N231" s="24">
        <f t="shared" si="10"/>
        <v>-14905587</v>
      </c>
      <c r="O231" s="80">
        <f t="shared" si="11"/>
        <v>0</v>
      </c>
      <c r="P231" s="18" t="s">
        <v>665</v>
      </c>
      <c r="Q231" s="18" t="str">
        <f>IFERROR(VLOOKUP(D231,'[1]TT CÁ NHÂN'!$E$3:$F$407,2,FALSE),0)</f>
        <v>Quy235211@gmail.com</v>
      </c>
    </row>
    <row r="232" spans="1:17" s="18" customFormat="1" ht="21" customHeight="1" x14ac:dyDescent="0.25">
      <c r="A232" s="19" t="s">
        <v>50</v>
      </c>
      <c r="B232" s="20">
        <v>230</v>
      </c>
      <c r="C232" s="26" t="s">
        <v>283</v>
      </c>
      <c r="D232" s="27">
        <v>5611150226</v>
      </c>
      <c r="E232" s="23">
        <v>0</v>
      </c>
      <c r="F232" s="23">
        <v>700000</v>
      </c>
      <c r="G232" s="23">
        <v>0</v>
      </c>
      <c r="H232" s="23">
        <v>1000000</v>
      </c>
      <c r="I232" s="23">
        <v>7707960</v>
      </c>
      <c r="J232" s="23">
        <v>8564400</v>
      </c>
      <c r="K232" s="24">
        <f t="shared" si="9"/>
        <v>17972360</v>
      </c>
      <c r="L232" s="23">
        <v>899262</v>
      </c>
      <c r="M232" s="24">
        <v>27900000</v>
      </c>
      <c r="N232" s="24">
        <f t="shared" si="10"/>
        <v>-10826902</v>
      </c>
      <c r="O232" s="80">
        <f t="shared" si="11"/>
        <v>0</v>
      </c>
      <c r="P232" s="18" t="s">
        <v>666</v>
      </c>
      <c r="Q232" s="18" t="str">
        <f>IFERROR(VLOOKUP(D232,'[1]TT CÁ NHÂN'!$E$3:$F$407,2,FALSE),0)</f>
        <v>kimthao27101988@gmail.com</v>
      </c>
    </row>
    <row r="233" spans="1:17" s="18" customFormat="1" ht="21" customHeight="1" x14ac:dyDescent="0.25">
      <c r="A233" s="19" t="s">
        <v>34</v>
      </c>
      <c r="B233" s="20">
        <v>231</v>
      </c>
      <c r="C233" s="40" t="s">
        <v>284</v>
      </c>
      <c r="D233" s="22">
        <v>5623448748</v>
      </c>
      <c r="E233" s="23">
        <v>222000</v>
      </c>
      <c r="F233" s="23">
        <v>700000</v>
      </c>
      <c r="G233" s="23">
        <v>0</v>
      </c>
      <c r="H233" s="23">
        <v>0</v>
      </c>
      <c r="I233" s="23">
        <v>9792900</v>
      </c>
      <c r="J233" s="23">
        <v>10881000</v>
      </c>
      <c r="K233" s="24">
        <f t="shared" si="9"/>
        <v>21595900</v>
      </c>
      <c r="L233" s="23">
        <v>1142505</v>
      </c>
      <c r="M233" s="24">
        <v>21700000</v>
      </c>
      <c r="N233" s="24">
        <f t="shared" si="10"/>
        <v>-1246605</v>
      </c>
      <c r="O233" s="80">
        <f t="shared" si="11"/>
        <v>0</v>
      </c>
      <c r="P233" s="18" t="s">
        <v>667</v>
      </c>
      <c r="Q233" s="18" t="str">
        <f>IFERROR(VLOOKUP(D233,'[1]TT CÁ NHÂN'!$E$3:$F$407,2,FALSE),0)</f>
        <v>ctytthqnam@gmail.com</v>
      </c>
    </row>
    <row r="234" spans="1:17" s="18" customFormat="1" ht="21" customHeight="1" x14ac:dyDescent="0.25">
      <c r="A234" s="19" t="s">
        <v>22</v>
      </c>
      <c r="B234" s="20">
        <v>232</v>
      </c>
      <c r="C234" s="31" t="s">
        <v>285</v>
      </c>
      <c r="D234" s="22">
        <v>5623447994</v>
      </c>
      <c r="E234" s="23">
        <v>0</v>
      </c>
      <c r="F234" s="23">
        <v>700000</v>
      </c>
      <c r="G234" s="23">
        <v>0</v>
      </c>
      <c r="H234" s="23">
        <v>0</v>
      </c>
      <c r="I234" s="23">
        <v>6318000</v>
      </c>
      <c r="J234" s="23">
        <v>7020000</v>
      </c>
      <c r="K234" s="24">
        <f t="shared" si="9"/>
        <v>14038000</v>
      </c>
      <c r="L234" s="23">
        <v>737100</v>
      </c>
      <c r="M234" s="24">
        <v>15500000</v>
      </c>
      <c r="N234" s="24">
        <f t="shared" si="10"/>
        <v>-2199100</v>
      </c>
      <c r="O234" s="80">
        <f t="shared" si="11"/>
        <v>0</v>
      </c>
      <c r="P234" s="18" t="s">
        <v>668</v>
      </c>
      <c r="Q234" s="18" t="str">
        <f>IFERROR(VLOOKUP(D234,'[1]TT CÁ NHÂN'!$E$3:$F$407,2,FALSE),0)</f>
        <v>lai.nguyenthi84@gmail.com</v>
      </c>
    </row>
    <row r="235" spans="1:17" s="18" customFormat="1" ht="21" customHeight="1" x14ac:dyDescent="0.25">
      <c r="A235" s="19" t="s">
        <v>22</v>
      </c>
      <c r="B235" s="20">
        <v>233</v>
      </c>
      <c r="C235" s="31" t="s">
        <v>286</v>
      </c>
      <c r="D235" s="22">
        <v>5623448182</v>
      </c>
      <c r="E235" s="23">
        <v>0</v>
      </c>
      <c r="F235" s="23">
        <v>700000</v>
      </c>
      <c r="G235" s="23">
        <v>0</v>
      </c>
      <c r="H235" s="23">
        <v>0</v>
      </c>
      <c r="I235" s="23">
        <v>7707960</v>
      </c>
      <c r="J235" s="23">
        <v>8564400</v>
      </c>
      <c r="K235" s="24">
        <f t="shared" si="9"/>
        <v>16972360</v>
      </c>
      <c r="L235" s="23">
        <v>899262</v>
      </c>
      <c r="M235" s="24">
        <v>15500000</v>
      </c>
      <c r="N235" s="24">
        <f t="shared" si="10"/>
        <v>573098</v>
      </c>
      <c r="O235" s="80">
        <f t="shared" si="11"/>
        <v>29000</v>
      </c>
      <c r="P235" s="18" t="s">
        <v>669</v>
      </c>
      <c r="Q235" s="18" t="str">
        <f>IFERROR(VLOOKUP(D235,'[1]TT CÁ NHÂN'!$E$3:$F$407,2,FALSE),0)</f>
        <v>lanhuongcdcqna@gmail.com</v>
      </c>
    </row>
    <row r="236" spans="1:17" s="18" customFormat="1" ht="21" customHeight="1" x14ac:dyDescent="0.25">
      <c r="A236" s="19" t="s">
        <v>31</v>
      </c>
      <c r="B236" s="20">
        <v>234</v>
      </c>
      <c r="C236" s="26" t="s">
        <v>287</v>
      </c>
      <c r="D236" s="27">
        <v>5611150961</v>
      </c>
      <c r="E236" s="23">
        <v>0</v>
      </c>
      <c r="F236" s="23">
        <v>700000</v>
      </c>
      <c r="G236" s="23">
        <v>0</v>
      </c>
      <c r="H236" s="23">
        <v>0</v>
      </c>
      <c r="I236" s="23">
        <v>7707960</v>
      </c>
      <c r="J236" s="23">
        <v>8564400</v>
      </c>
      <c r="K236" s="24">
        <f t="shared" si="9"/>
        <v>16972360</v>
      </c>
      <c r="L236" s="23">
        <v>899262</v>
      </c>
      <c r="M236" s="24">
        <v>34100000</v>
      </c>
      <c r="N236" s="24">
        <f t="shared" si="10"/>
        <v>-18026902</v>
      </c>
      <c r="O236" s="80">
        <f t="shared" si="11"/>
        <v>0</v>
      </c>
      <c r="P236" s="18" t="s">
        <v>670</v>
      </c>
      <c r="Q236" s="18" t="str">
        <f>IFERROR(VLOOKUP(D236,'[1]TT CÁ NHÂN'!$E$3:$F$407,2,FALSE),0)</f>
        <v>lanhkdytqt2014@gmail.com</v>
      </c>
    </row>
    <row r="237" spans="1:17" s="18" customFormat="1" ht="21" customHeight="1" x14ac:dyDescent="0.25">
      <c r="A237" s="19" t="s">
        <v>61</v>
      </c>
      <c r="B237" s="20">
        <v>235</v>
      </c>
      <c r="C237" s="26" t="s">
        <v>288</v>
      </c>
      <c r="D237" s="27">
        <v>5611151308</v>
      </c>
      <c r="E237" s="23">
        <v>0</v>
      </c>
      <c r="F237" s="23">
        <v>700000</v>
      </c>
      <c r="G237" s="23">
        <v>0</v>
      </c>
      <c r="H237" s="23">
        <v>0</v>
      </c>
      <c r="I237" s="23">
        <v>9097920</v>
      </c>
      <c r="J237" s="23">
        <v>10108800</v>
      </c>
      <c r="K237" s="24">
        <f t="shared" si="9"/>
        <v>19906720</v>
      </c>
      <c r="L237" s="23">
        <v>1061424</v>
      </c>
      <c r="M237" s="24">
        <v>27900000</v>
      </c>
      <c r="N237" s="24">
        <f t="shared" si="10"/>
        <v>-9054704</v>
      </c>
      <c r="O237" s="80">
        <f t="shared" si="11"/>
        <v>0</v>
      </c>
      <c r="P237" s="18" t="s">
        <v>671</v>
      </c>
      <c r="Q237" s="18" t="str">
        <f>IFERROR(VLOOKUP(D237,'[1]TT CÁ NHÂN'!$E$3:$F$407,2,FALSE),0)</f>
        <v>vietly81@gmail.com</v>
      </c>
    </row>
    <row r="238" spans="1:17" s="18" customFormat="1" ht="21" customHeight="1" x14ac:dyDescent="0.25">
      <c r="A238" s="19" t="s">
        <v>50</v>
      </c>
      <c r="B238" s="20">
        <v>236</v>
      </c>
      <c r="C238" s="26" t="s">
        <v>289</v>
      </c>
      <c r="D238" s="27">
        <v>5611149996</v>
      </c>
      <c r="E238" s="23">
        <v>0</v>
      </c>
      <c r="F238" s="23">
        <v>700000</v>
      </c>
      <c r="G238" s="23">
        <v>0</v>
      </c>
      <c r="H238" s="23">
        <v>0</v>
      </c>
      <c r="I238" s="23">
        <v>7707960</v>
      </c>
      <c r="J238" s="23">
        <v>0</v>
      </c>
      <c r="K238" s="24">
        <f t="shared" si="9"/>
        <v>8407960</v>
      </c>
      <c r="L238" s="23">
        <v>0</v>
      </c>
      <c r="M238" s="24">
        <v>21700000</v>
      </c>
      <c r="N238" s="24">
        <f t="shared" si="10"/>
        <v>-13292040</v>
      </c>
      <c r="O238" s="80">
        <f t="shared" si="11"/>
        <v>0</v>
      </c>
      <c r="P238" s="18" t="s">
        <v>672</v>
      </c>
      <c r="Q238" s="18" t="str">
        <f>IFERROR(VLOOKUP(D238,'[1]TT CÁ NHÂN'!$E$3:$F$407,2,FALSE),0)</f>
        <v>nguyenthiminhchi1990@gmail.com</v>
      </c>
    </row>
    <row r="239" spans="1:17" s="18" customFormat="1" ht="21" customHeight="1" x14ac:dyDescent="0.25">
      <c r="A239" s="19" t="s">
        <v>44</v>
      </c>
      <c r="B239" s="20">
        <v>237</v>
      </c>
      <c r="C239" s="26" t="s">
        <v>290</v>
      </c>
      <c r="D239" s="27">
        <v>8847402296</v>
      </c>
      <c r="E239" s="23">
        <v>0</v>
      </c>
      <c r="F239" s="23">
        <v>700000</v>
      </c>
      <c r="G239" s="23">
        <v>0</v>
      </c>
      <c r="H239" s="23">
        <v>0</v>
      </c>
      <c r="I239" s="23">
        <v>6318000</v>
      </c>
      <c r="J239" s="23">
        <v>7020000</v>
      </c>
      <c r="K239" s="24">
        <f t="shared" si="9"/>
        <v>14038000</v>
      </c>
      <c r="L239" s="23">
        <v>737100</v>
      </c>
      <c r="M239" s="24">
        <v>15500000</v>
      </c>
      <c r="N239" s="24">
        <f t="shared" si="10"/>
        <v>-2199100</v>
      </c>
      <c r="O239" s="80">
        <f t="shared" si="11"/>
        <v>0</v>
      </c>
      <c r="P239" s="18" t="s">
        <v>673</v>
      </c>
      <c r="Q239" s="18" t="str">
        <f>IFERROR(VLOOKUP(D239,'[1]TT CÁ NHÂN'!$E$3:$F$407,2,FALSE),0)</f>
        <v>minhloan2891991@gmail.com</v>
      </c>
    </row>
    <row r="240" spans="1:17" s="18" customFormat="1" ht="21" customHeight="1" x14ac:dyDescent="0.25">
      <c r="A240" s="19" t="s">
        <v>44</v>
      </c>
      <c r="B240" s="20">
        <v>238</v>
      </c>
      <c r="C240" s="25" t="s">
        <v>291</v>
      </c>
      <c r="D240" s="22">
        <v>5620212698</v>
      </c>
      <c r="E240" s="23">
        <v>0</v>
      </c>
      <c r="F240" s="23">
        <v>700000</v>
      </c>
      <c r="G240" s="23">
        <v>0</v>
      </c>
      <c r="H240" s="23">
        <v>0</v>
      </c>
      <c r="I240" s="23">
        <v>9792900</v>
      </c>
      <c r="J240" s="23">
        <v>10881000</v>
      </c>
      <c r="K240" s="24">
        <f t="shared" si="9"/>
        <v>21373900</v>
      </c>
      <c r="L240" s="23">
        <v>1142505</v>
      </c>
      <c r="M240" s="24">
        <v>27900000</v>
      </c>
      <c r="N240" s="24">
        <f t="shared" si="10"/>
        <v>-7668605</v>
      </c>
      <c r="O240" s="80">
        <f t="shared" si="11"/>
        <v>0</v>
      </c>
      <c r="P240" s="18" t="s">
        <v>674</v>
      </c>
      <c r="Q240" s="18" t="str">
        <f>IFERROR(VLOOKUP(D240,'[1]TT CÁ NHÂN'!$E$3:$F$407,2,FALSE),0)</f>
        <v>Chautram1412@gmail.com</v>
      </c>
    </row>
    <row r="241" spans="1:17" s="18" customFormat="1" ht="21" customHeight="1" x14ac:dyDescent="0.25">
      <c r="A241" s="19" t="s">
        <v>38</v>
      </c>
      <c r="B241" s="20">
        <v>239</v>
      </c>
      <c r="C241" s="30" t="s">
        <v>292</v>
      </c>
      <c r="D241" s="22">
        <v>8884960371</v>
      </c>
      <c r="E241" s="23">
        <v>0</v>
      </c>
      <c r="F241" s="23">
        <v>700000</v>
      </c>
      <c r="G241" s="23">
        <v>0</v>
      </c>
      <c r="H241" s="23">
        <v>0</v>
      </c>
      <c r="I241" s="23">
        <v>4928040</v>
      </c>
      <c r="J241" s="23">
        <v>5475600</v>
      </c>
      <c r="K241" s="24">
        <f t="shared" si="9"/>
        <v>11103640</v>
      </c>
      <c r="L241" s="23">
        <v>574938</v>
      </c>
      <c r="M241" s="24">
        <v>15500000</v>
      </c>
      <c r="N241" s="24">
        <f t="shared" si="10"/>
        <v>-4971298</v>
      </c>
      <c r="O241" s="80">
        <f t="shared" si="11"/>
        <v>0</v>
      </c>
      <c r="P241" s="18" t="s">
        <v>831</v>
      </c>
      <c r="Q241" s="18" t="str">
        <f>IFERROR(VLOOKUP(D241,'[1]TT CÁ NHÂN'!$E$3:$F$407,2,FALSE),0)</f>
        <v>dung3.27.2.1997@gmail.com</v>
      </c>
    </row>
    <row r="242" spans="1:17" s="18" customFormat="1" ht="21" customHeight="1" x14ac:dyDescent="0.25">
      <c r="A242" s="19" t="s">
        <v>50</v>
      </c>
      <c r="B242" s="20">
        <v>240</v>
      </c>
      <c r="C242" s="26" t="s">
        <v>293</v>
      </c>
      <c r="D242" s="27">
        <v>5611150022</v>
      </c>
      <c r="E242" s="23">
        <v>0</v>
      </c>
      <c r="F242" s="23">
        <v>700000</v>
      </c>
      <c r="G242" s="23">
        <v>0</v>
      </c>
      <c r="H242" s="23">
        <v>1500000</v>
      </c>
      <c r="I242" s="23">
        <v>0</v>
      </c>
      <c r="J242" s="23">
        <v>8541000</v>
      </c>
      <c r="K242" s="24">
        <f t="shared" si="9"/>
        <v>10741000</v>
      </c>
      <c r="L242" s="23">
        <v>896805</v>
      </c>
      <c r="M242" s="24">
        <v>21700000</v>
      </c>
      <c r="N242" s="24">
        <f t="shared" si="10"/>
        <v>-11855805</v>
      </c>
      <c r="O242" s="80">
        <f t="shared" si="11"/>
        <v>0</v>
      </c>
      <c r="P242" s="18" t="s">
        <v>675</v>
      </c>
      <c r="Q242" s="18" t="str">
        <f>IFERROR(VLOOKUP(D242,'[1]TT CÁ NHÂN'!$E$3:$F$407,2,FALSE),0)</f>
        <v>phucphuong88@gmail.com</v>
      </c>
    </row>
    <row r="243" spans="1:17" s="18" customFormat="1" ht="21" customHeight="1" x14ac:dyDescent="0.25">
      <c r="A243" s="19" t="s">
        <v>42</v>
      </c>
      <c r="B243" s="20">
        <v>241</v>
      </c>
      <c r="C243" s="26" t="s">
        <v>294</v>
      </c>
      <c r="D243" s="27">
        <v>5610702925</v>
      </c>
      <c r="E243" s="23">
        <v>0</v>
      </c>
      <c r="F243" s="23">
        <v>700000</v>
      </c>
      <c r="G243" s="23">
        <v>0</v>
      </c>
      <c r="H243" s="23">
        <v>0</v>
      </c>
      <c r="I243" s="23">
        <v>7034040</v>
      </c>
      <c r="J243" s="23">
        <v>7815600</v>
      </c>
      <c r="K243" s="24">
        <f t="shared" si="9"/>
        <v>15549640</v>
      </c>
      <c r="L243" s="23">
        <v>820638</v>
      </c>
      <c r="M243" s="24">
        <v>21700000</v>
      </c>
      <c r="N243" s="24">
        <f t="shared" si="10"/>
        <v>-6970998</v>
      </c>
      <c r="O243" s="80">
        <f t="shared" si="11"/>
        <v>0</v>
      </c>
      <c r="P243" s="18" t="s">
        <v>676</v>
      </c>
      <c r="Q243" s="18" t="str">
        <f>IFERROR(VLOOKUP(D243,'[1]TT CÁ NHÂN'!$E$3:$F$407,2,FALSE),0)</f>
        <v>nguyenthingocbich103tt@gmail.com</v>
      </c>
    </row>
    <row r="244" spans="1:17" s="18" customFormat="1" ht="21" customHeight="1" x14ac:dyDescent="0.25">
      <c r="A244" s="19" t="s">
        <v>64</v>
      </c>
      <c r="B244" s="20">
        <v>242</v>
      </c>
      <c r="C244" s="25" t="s">
        <v>295</v>
      </c>
      <c r="D244" s="22">
        <v>5623588653</v>
      </c>
      <c r="E244" s="23">
        <v>0</v>
      </c>
      <c r="F244" s="23">
        <v>700000</v>
      </c>
      <c r="G244" s="23">
        <v>0</v>
      </c>
      <c r="H244" s="23">
        <v>0</v>
      </c>
      <c r="I244" s="23">
        <v>7707960</v>
      </c>
      <c r="J244" s="23">
        <v>8564400</v>
      </c>
      <c r="K244" s="24">
        <f t="shared" si="9"/>
        <v>16972360</v>
      </c>
      <c r="L244" s="23">
        <v>899262</v>
      </c>
      <c r="M244" s="24">
        <v>15500000</v>
      </c>
      <c r="N244" s="24">
        <f t="shared" si="10"/>
        <v>573098</v>
      </c>
      <c r="O244" s="80">
        <f t="shared" si="11"/>
        <v>29000</v>
      </c>
      <c r="P244" s="18" t="s">
        <v>677</v>
      </c>
      <c r="Q244" s="18" t="str">
        <f>IFERROR(VLOOKUP(D244,'[1]TT CÁ NHÂN'!$E$3:$F$407,2,FALSE),0)</f>
        <v>diepcdc2025@gmail.com</v>
      </c>
    </row>
    <row r="245" spans="1:17" s="18" customFormat="1" ht="21" customHeight="1" x14ac:dyDescent="0.25">
      <c r="A245" s="19" t="s">
        <v>40</v>
      </c>
      <c r="B245" s="20">
        <v>243</v>
      </c>
      <c r="C245" s="26" t="s">
        <v>296</v>
      </c>
      <c r="D245" s="27">
        <v>5611148799</v>
      </c>
      <c r="E245" s="23">
        <v>0</v>
      </c>
      <c r="F245" s="23">
        <v>700000</v>
      </c>
      <c r="G245" s="23">
        <v>0</v>
      </c>
      <c r="H245" s="23">
        <v>0</v>
      </c>
      <c r="I245" s="23">
        <v>7707960</v>
      </c>
      <c r="J245" s="23">
        <v>8564400</v>
      </c>
      <c r="K245" s="24">
        <f t="shared" si="9"/>
        <v>16972360</v>
      </c>
      <c r="L245" s="23">
        <v>899262</v>
      </c>
      <c r="M245" s="24">
        <v>21700000</v>
      </c>
      <c r="N245" s="24">
        <f t="shared" si="10"/>
        <v>-5626902</v>
      </c>
      <c r="O245" s="80">
        <f t="shared" si="11"/>
        <v>0</v>
      </c>
      <c r="P245" s="18" t="s">
        <v>678</v>
      </c>
      <c r="Q245" s="18" t="str">
        <f>IFERROR(VLOOKUP(D245,'[1]TT CÁ NHÂN'!$E$3:$F$407,2,FALSE),0)</f>
        <v>gnoudha@gmail.com</v>
      </c>
    </row>
    <row r="246" spans="1:17" s="18" customFormat="1" ht="21" customHeight="1" x14ac:dyDescent="0.25">
      <c r="A246" s="19" t="s">
        <v>50</v>
      </c>
      <c r="B246" s="20">
        <v>244</v>
      </c>
      <c r="C246" s="26" t="s">
        <v>297</v>
      </c>
      <c r="D246" s="27">
        <v>5610544002</v>
      </c>
      <c r="E246" s="23">
        <v>601000</v>
      </c>
      <c r="F246" s="23">
        <v>700000</v>
      </c>
      <c r="G246" s="23">
        <v>0</v>
      </c>
      <c r="H246" s="23">
        <v>0</v>
      </c>
      <c r="I246" s="23">
        <v>9405396</v>
      </c>
      <c r="J246" s="23">
        <v>10450440</v>
      </c>
      <c r="K246" s="24">
        <f t="shared" si="9"/>
        <v>21156836</v>
      </c>
      <c r="L246" s="23">
        <v>1097296</v>
      </c>
      <c r="M246" s="24">
        <v>21700000</v>
      </c>
      <c r="N246" s="24">
        <f t="shared" si="10"/>
        <v>-1640460</v>
      </c>
      <c r="O246" s="80">
        <f t="shared" si="11"/>
        <v>0</v>
      </c>
      <c r="P246" s="18" t="s">
        <v>679</v>
      </c>
      <c r="Q246" s="18" t="str">
        <f>IFERROR(VLOOKUP(D246,'[1]TT CÁ NHÂN'!$E$3:$F$407,2,FALSE),0)</f>
        <v>nguyennguyet20021970@gmail.com</v>
      </c>
    </row>
    <row r="247" spans="1:17" s="18" customFormat="1" ht="21" customHeight="1" x14ac:dyDescent="0.25">
      <c r="A247" s="19" t="s">
        <v>102</v>
      </c>
      <c r="B247" s="20">
        <v>245</v>
      </c>
      <c r="C247" s="25" t="s">
        <v>298</v>
      </c>
      <c r="D247" s="22">
        <v>8803373278</v>
      </c>
      <c r="E247" s="23">
        <v>0</v>
      </c>
      <c r="F247" s="23">
        <v>700000</v>
      </c>
      <c r="G247" s="23">
        <v>0</v>
      </c>
      <c r="H247" s="23">
        <v>0</v>
      </c>
      <c r="I247" s="23">
        <v>0</v>
      </c>
      <c r="J247" s="23">
        <v>4914000</v>
      </c>
      <c r="K247" s="24">
        <f t="shared" si="9"/>
        <v>5614000</v>
      </c>
      <c r="L247" s="23">
        <v>515970</v>
      </c>
      <c r="M247" s="24">
        <v>15500000</v>
      </c>
      <c r="N247" s="24">
        <f t="shared" si="10"/>
        <v>-10401970</v>
      </c>
      <c r="O247" s="80">
        <f t="shared" si="11"/>
        <v>0</v>
      </c>
      <c r="P247" s="18" t="s">
        <v>680</v>
      </c>
      <c r="Q247" s="18" t="str">
        <f>IFERROR(VLOOKUP(D247,'[1]TT CÁ NHÂN'!$E$3:$F$407,2,FALSE),0)</f>
        <v>phuongnguyent52@gmail.com</v>
      </c>
    </row>
    <row r="248" spans="1:17" s="18" customFormat="1" ht="21" customHeight="1" x14ac:dyDescent="0.25">
      <c r="A248" s="19" t="s">
        <v>25</v>
      </c>
      <c r="B248" s="20">
        <v>246</v>
      </c>
      <c r="C248" s="26" t="s">
        <v>299</v>
      </c>
      <c r="D248" s="27">
        <v>5610226762</v>
      </c>
      <c r="E248" s="23">
        <v>0</v>
      </c>
      <c r="F248" s="23">
        <v>700000</v>
      </c>
      <c r="G248" s="23">
        <v>0</v>
      </c>
      <c r="H248" s="23">
        <v>0</v>
      </c>
      <c r="I248" s="23">
        <v>8992620</v>
      </c>
      <c r="J248" s="23">
        <v>9991800</v>
      </c>
      <c r="K248" s="24">
        <f t="shared" si="9"/>
        <v>19684420</v>
      </c>
      <c r="L248" s="23">
        <v>1049139</v>
      </c>
      <c r="M248" s="24">
        <v>21700000</v>
      </c>
      <c r="N248" s="24">
        <f t="shared" si="10"/>
        <v>-3064719</v>
      </c>
      <c r="O248" s="80">
        <f t="shared" si="11"/>
        <v>0</v>
      </c>
      <c r="P248" s="18" t="s">
        <v>681</v>
      </c>
      <c r="Q248" s="18" t="str">
        <f>IFERROR(VLOOKUP(D248,'[1]TT CÁ NHÂN'!$E$3:$F$407,2,FALSE),0)</f>
        <v>nguyenthiphuongbisaka1978@gmail.com</v>
      </c>
    </row>
    <row r="249" spans="1:17" s="18" customFormat="1" ht="21" customHeight="1" x14ac:dyDescent="0.25">
      <c r="A249" s="19" t="s">
        <v>50</v>
      </c>
      <c r="B249" s="20">
        <v>247</v>
      </c>
      <c r="C249" s="26" t="s">
        <v>300</v>
      </c>
      <c r="D249" s="27">
        <v>5611661737</v>
      </c>
      <c r="E249" s="23">
        <v>802000</v>
      </c>
      <c r="F249" s="23">
        <v>700000</v>
      </c>
      <c r="G249" s="23">
        <v>0</v>
      </c>
      <c r="H249" s="23">
        <v>0</v>
      </c>
      <c r="I249" s="23">
        <v>5728320</v>
      </c>
      <c r="J249" s="23">
        <v>6364800</v>
      </c>
      <c r="K249" s="24">
        <f t="shared" si="9"/>
        <v>13595120</v>
      </c>
      <c r="L249" s="23">
        <v>668304</v>
      </c>
      <c r="M249" s="24">
        <v>21700000</v>
      </c>
      <c r="N249" s="24">
        <f t="shared" si="10"/>
        <v>-8773184</v>
      </c>
      <c r="O249" s="80">
        <f t="shared" si="11"/>
        <v>0</v>
      </c>
      <c r="P249" s="18" t="s">
        <v>682</v>
      </c>
      <c r="Q249" s="18" t="str">
        <f>IFERROR(VLOOKUP(D249,'[1]TT CÁ NHÂN'!$E$3:$F$407,2,FALSE),0)</f>
        <v>Thanhha79911@gmail.com</v>
      </c>
    </row>
    <row r="250" spans="1:17" s="18" customFormat="1" ht="21" customHeight="1" x14ac:dyDescent="0.25">
      <c r="A250" s="19" t="s">
        <v>102</v>
      </c>
      <c r="B250" s="20">
        <v>248</v>
      </c>
      <c r="C250" s="26" t="s">
        <v>301</v>
      </c>
      <c r="D250" s="27">
        <v>5611149109</v>
      </c>
      <c r="E250" s="23">
        <v>0</v>
      </c>
      <c r="F250" s="23">
        <v>700000</v>
      </c>
      <c r="G250" s="23">
        <v>0</v>
      </c>
      <c r="H250" s="23">
        <v>0</v>
      </c>
      <c r="I250" s="23">
        <v>8402940</v>
      </c>
      <c r="J250" s="23">
        <v>9336600</v>
      </c>
      <c r="K250" s="24">
        <f t="shared" si="9"/>
        <v>18439540</v>
      </c>
      <c r="L250" s="23">
        <v>980343</v>
      </c>
      <c r="M250" s="24">
        <v>15500000</v>
      </c>
      <c r="N250" s="24">
        <f t="shared" si="10"/>
        <v>1959197</v>
      </c>
      <c r="O250" s="80">
        <f t="shared" si="11"/>
        <v>98000</v>
      </c>
      <c r="P250" s="18" t="s">
        <v>683</v>
      </c>
      <c r="Q250" s="18" t="str">
        <f>IFERROR(VLOOKUP(D250,'[1]TT CÁ NHÂN'!$E$3:$F$407,2,FALSE),0)</f>
        <v>thhieu704.mtd@gmail.com</v>
      </c>
    </row>
    <row r="251" spans="1:17" s="18" customFormat="1" ht="21" customHeight="1" x14ac:dyDescent="0.25">
      <c r="A251" s="19" t="s">
        <v>34</v>
      </c>
      <c r="B251" s="20">
        <v>249</v>
      </c>
      <c r="C251" s="26" t="s">
        <v>302</v>
      </c>
      <c r="D251" s="27">
        <v>5610409305</v>
      </c>
      <c r="E251" s="23">
        <v>0</v>
      </c>
      <c r="F251" s="23">
        <v>700000</v>
      </c>
      <c r="G251" s="23">
        <v>0</v>
      </c>
      <c r="H251" s="23">
        <v>0</v>
      </c>
      <c r="I251" s="23">
        <v>8402940</v>
      </c>
      <c r="J251" s="23">
        <v>9336600</v>
      </c>
      <c r="K251" s="24">
        <f t="shared" si="9"/>
        <v>18439540</v>
      </c>
      <c r="L251" s="23">
        <v>980343</v>
      </c>
      <c r="M251" s="24">
        <v>21700000</v>
      </c>
      <c r="N251" s="24">
        <f t="shared" si="10"/>
        <v>-4240803</v>
      </c>
      <c r="O251" s="80">
        <f t="shared" si="11"/>
        <v>0</v>
      </c>
      <c r="P251" s="18" t="s">
        <v>684</v>
      </c>
      <c r="Q251" s="18" t="str">
        <f>IFERROR(VLOOKUP(D251,'[1]TT CÁ NHÂN'!$E$3:$F$407,2,FALSE),0)</f>
        <v>thanhhuong260485@gmail.com</v>
      </c>
    </row>
    <row r="252" spans="1:17" s="18" customFormat="1" ht="21" customHeight="1" x14ac:dyDescent="0.25">
      <c r="A252" s="19" t="s">
        <v>50</v>
      </c>
      <c r="B252" s="20">
        <v>250</v>
      </c>
      <c r="C252" s="31" t="s">
        <v>303</v>
      </c>
      <c r="D252" s="22">
        <v>5623428999</v>
      </c>
      <c r="E252" s="23">
        <v>111000</v>
      </c>
      <c r="F252" s="23">
        <v>700000</v>
      </c>
      <c r="G252" s="23">
        <v>0</v>
      </c>
      <c r="H252" s="23">
        <v>0</v>
      </c>
      <c r="I252" s="23">
        <v>7012980</v>
      </c>
      <c r="J252" s="23">
        <v>7792200</v>
      </c>
      <c r="K252" s="24">
        <f t="shared" si="9"/>
        <v>15616180</v>
      </c>
      <c r="L252" s="23">
        <v>818181</v>
      </c>
      <c r="M252" s="24">
        <v>21700000</v>
      </c>
      <c r="N252" s="24">
        <f t="shared" si="10"/>
        <v>-6902001</v>
      </c>
      <c r="O252" s="80">
        <f t="shared" si="11"/>
        <v>0</v>
      </c>
      <c r="P252" s="18" t="s">
        <v>685</v>
      </c>
      <c r="Q252" s="18" t="str">
        <f>IFERROR(VLOOKUP(D252,'[1]TT CÁ NHÂN'!$E$3:$F$407,2,FALSE),0)</f>
        <v>Thanhnhatyte@gmail.com</v>
      </c>
    </row>
    <row r="253" spans="1:17" s="18" customFormat="1" ht="21" customHeight="1" x14ac:dyDescent="0.25">
      <c r="A253" s="19" t="s">
        <v>27</v>
      </c>
      <c r="B253" s="20">
        <v>251</v>
      </c>
      <c r="C253" s="40" t="s">
        <v>304</v>
      </c>
      <c r="D253" s="22">
        <v>5623455119</v>
      </c>
      <c r="E253" s="23">
        <v>0</v>
      </c>
      <c r="F253" s="23">
        <v>700000</v>
      </c>
      <c r="G253" s="23">
        <v>0</v>
      </c>
      <c r="H253" s="23">
        <v>0</v>
      </c>
      <c r="I253" s="23">
        <v>7707960</v>
      </c>
      <c r="J253" s="23">
        <v>8564400</v>
      </c>
      <c r="K253" s="24">
        <f t="shared" si="9"/>
        <v>16972360</v>
      </c>
      <c r="L253" s="23">
        <v>899262</v>
      </c>
      <c r="M253" s="24">
        <v>27900000</v>
      </c>
      <c r="N253" s="24">
        <f t="shared" si="10"/>
        <v>-11826902</v>
      </c>
      <c r="O253" s="80">
        <f t="shared" si="11"/>
        <v>0</v>
      </c>
      <c r="P253" s="18" t="s">
        <v>686</v>
      </c>
      <c r="Q253" s="18" t="str">
        <f>IFERROR(VLOOKUP(D253,'[1]TT CÁ NHÂN'!$E$3:$F$407,2,FALSE),0)</f>
        <v>thanhthu218@gmail.com</v>
      </c>
    </row>
    <row r="254" spans="1:17" s="18" customFormat="1" ht="21" customHeight="1" x14ac:dyDescent="0.25">
      <c r="A254" s="19" t="s">
        <v>34</v>
      </c>
      <c r="B254" s="20">
        <v>252</v>
      </c>
      <c r="C254" s="26" t="s">
        <v>305</v>
      </c>
      <c r="D254" s="27">
        <v>5611531636</v>
      </c>
      <c r="E254" s="23">
        <v>0</v>
      </c>
      <c r="F254" s="23">
        <v>700000</v>
      </c>
      <c r="G254" s="23">
        <v>720000</v>
      </c>
      <c r="H254" s="23">
        <v>954015</v>
      </c>
      <c r="I254" s="23">
        <v>9097920</v>
      </c>
      <c r="J254" s="23">
        <v>10881000</v>
      </c>
      <c r="K254" s="24">
        <f t="shared" si="9"/>
        <v>22352935</v>
      </c>
      <c r="L254" s="23">
        <v>1142505</v>
      </c>
      <c r="M254" s="24">
        <v>15500000</v>
      </c>
      <c r="N254" s="24">
        <f t="shared" si="10"/>
        <v>5710430</v>
      </c>
      <c r="O254" s="80">
        <f t="shared" si="11"/>
        <v>286000</v>
      </c>
      <c r="P254" s="18" t="s">
        <v>687</v>
      </c>
      <c r="Q254" s="18" t="str">
        <f>IFERROR(VLOOKUP(D254,'[1]TT CÁ NHÂN'!$E$3:$F$407,2,FALSE),0)</f>
        <v>trakehoachcdc@gmail.com</v>
      </c>
    </row>
    <row r="255" spans="1:17" s="18" customFormat="1" ht="21" customHeight="1" x14ac:dyDescent="0.25">
      <c r="A255" s="19" t="s">
        <v>44</v>
      </c>
      <c r="B255" s="20">
        <v>253</v>
      </c>
      <c r="C255" s="30" t="s">
        <v>306</v>
      </c>
      <c r="D255" s="22">
        <v>8833150607</v>
      </c>
      <c r="E255" s="23">
        <v>0</v>
      </c>
      <c r="F255" s="23">
        <v>700000</v>
      </c>
      <c r="G255" s="23">
        <v>0</v>
      </c>
      <c r="H255" s="23">
        <v>0</v>
      </c>
      <c r="I255" s="23">
        <v>5623020</v>
      </c>
      <c r="J255" s="23">
        <v>6247800</v>
      </c>
      <c r="K255" s="24">
        <f t="shared" si="9"/>
        <v>12570820</v>
      </c>
      <c r="L255" s="23">
        <v>656019</v>
      </c>
      <c r="M255" s="24">
        <v>21700000</v>
      </c>
      <c r="N255" s="24">
        <f t="shared" si="10"/>
        <v>-9785199</v>
      </c>
      <c r="O255" s="80">
        <f t="shared" si="11"/>
        <v>0</v>
      </c>
      <c r="P255" s="18" t="s">
        <v>688</v>
      </c>
      <c r="Q255" s="18" t="str">
        <f>IFERROR(VLOOKUP(D255,'[1]TT CÁ NHÂN'!$E$3:$F$407,2,FALSE),0)</f>
        <v>thaolynguyen1409@gmail.com</v>
      </c>
    </row>
    <row r="256" spans="1:17" s="18" customFormat="1" ht="21" customHeight="1" x14ac:dyDescent="0.25">
      <c r="A256" s="19" t="s">
        <v>50</v>
      </c>
      <c r="B256" s="20">
        <v>254</v>
      </c>
      <c r="C256" s="26" t="s">
        <v>307</v>
      </c>
      <c r="D256" s="27">
        <v>5611150059</v>
      </c>
      <c r="E256" s="23">
        <v>160000</v>
      </c>
      <c r="F256" s="23">
        <v>700000</v>
      </c>
      <c r="G256" s="23">
        <v>0</v>
      </c>
      <c r="H256" s="23">
        <v>3400000</v>
      </c>
      <c r="I256" s="23">
        <v>6381180</v>
      </c>
      <c r="J256" s="23">
        <v>7090200</v>
      </c>
      <c r="K256" s="24">
        <f t="shared" si="9"/>
        <v>17731380</v>
      </c>
      <c r="L256" s="23">
        <v>744471</v>
      </c>
      <c r="M256" s="24">
        <v>27900000</v>
      </c>
      <c r="N256" s="24">
        <f t="shared" si="10"/>
        <v>-10913091</v>
      </c>
      <c r="O256" s="80">
        <f t="shared" si="11"/>
        <v>0</v>
      </c>
      <c r="P256" s="18" t="s">
        <v>830</v>
      </c>
      <c r="Q256" s="18" t="str">
        <f>IFERROR(VLOOKUP(D256,'[1]TT CÁ NHÂN'!$E$3:$F$407,2,FALSE),0)</f>
        <v>nguyenngoc215@gmail.com</v>
      </c>
    </row>
    <row r="257" spans="1:17" s="18" customFormat="1" ht="21" customHeight="1" x14ac:dyDescent="0.25">
      <c r="A257" s="19" t="s">
        <v>50</v>
      </c>
      <c r="B257" s="20">
        <v>255</v>
      </c>
      <c r="C257" s="25" t="s">
        <v>308</v>
      </c>
      <c r="D257" s="22">
        <v>5623448696</v>
      </c>
      <c r="E257" s="23">
        <v>640000</v>
      </c>
      <c r="F257" s="23">
        <v>700000</v>
      </c>
      <c r="G257" s="23">
        <v>0</v>
      </c>
      <c r="H257" s="23">
        <v>0</v>
      </c>
      <c r="I257" s="23">
        <v>7012980</v>
      </c>
      <c r="J257" s="23">
        <v>7792200</v>
      </c>
      <c r="K257" s="24">
        <f t="shared" si="9"/>
        <v>16145180</v>
      </c>
      <c r="L257" s="23">
        <v>818181</v>
      </c>
      <c r="M257" s="24">
        <v>21700000</v>
      </c>
      <c r="N257" s="24">
        <f t="shared" si="10"/>
        <v>-6373001</v>
      </c>
      <c r="O257" s="80">
        <f t="shared" si="11"/>
        <v>0</v>
      </c>
      <c r="P257" s="18" t="s">
        <v>689</v>
      </c>
      <c r="Q257" s="18" t="str">
        <f>IFERROR(VLOOKUP(D257,'[1]TT CÁ NHÂN'!$E$3:$F$407,2,FALSE),0)</f>
        <v>nguyenthithuskssqn@gmail.com</v>
      </c>
    </row>
    <row r="258" spans="1:17" s="18" customFormat="1" ht="21" customHeight="1" x14ac:dyDescent="0.25">
      <c r="A258" s="19" t="s">
        <v>57</v>
      </c>
      <c r="B258" s="20">
        <v>256</v>
      </c>
      <c r="C258" s="26" t="s">
        <v>309</v>
      </c>
      <c r="D258" s="27">
        <v>5610266874</v>
      </c>
      <c r="E258" s="23">
        <v>0</v>
      </c>
      <c r="F258" s="23">
        <v>700000</v>
      </c>
      <c r="G258" s="23">
        <v>0</v>
      </c>
      <c r="H258" s="23">
        <v>0</v>
      </c>
      <c r="I258" s="23">
        <v>9097920</v>
      </c>
      <c r="J258" s="23">
        <v>10108800</v>
      </c>
      <c r="K258" s="24">
        <f t="shared" si="9"/>
        <v>19906720</v>
      </c>
      <c r="L258" s="23">
        <v>1061424</v>
      </c>
      <c r="M258" s="24">
        <v>15500000</v>
      </c>
      <c r="N258" s="24">
        <f t="shared" si="10"/>
        <v>3345296</v>
      </c>
      <c r="O258" s="80">
        <f t="shared" si="11"/>
        <v>167000</v>
      </c>
      <c r="P258" s="18" t="s">
        <v>690</v>
      </c>
      <c r="Q258" s="18" t="str">
        <f>IFERROR(VLOOKUP(D258,'[1]TT CÁ NHÂN'!$E$3:$F$407,2,FALSE),0)</f>
        <v>hienntt1084@gmail.com</v>
      </c>
    </row>
    <row r="259" spans="1:17" s="18" customFormat="1" ht="21" customHeight="1" x14ac:dyDescent="0.25">
      <c r="A259" s="19" t="s">
        <v>61</v>
      </c>
      <c r="B259" s="20">
        <v>257</v>
      </c>
      <c r="C259" s="26" t="s">
        <v>310</v>
      </c>
      <c r="D259" s="52">
        <v>5610281770</v>
      </c>
      <c r="E259" s="23">
        <v>240000</v>
      </c>
      <c r="F259" s="23">
        <v>700000</v>
      </c>
      <c r="G259" s="23">
        <v>146000</v>
      </c>
      <c r="H259" s="23">
        <v>0</v>
      </c>
      <c r="I259" s="23">
        <v>0</v>
      </c>
      <c r="J259" s="23">
        <v>5733000</v>
      </c>
      <c r="K259" s="24">
        <f t="shared" ref="K259:K322" si="12">SUM(E259:J259)</f>
        <v>6819000</v>
      </c>
      <c r="L259" s="23">
        <v>0</v>
      </c>
      <c r="M259" s="24">
        <v>15500000</v>
      </c>
      <c r="N259" s="24">
        <f t="shared" si="10"/>
        <v>-8681000</v>
      </c>
      <c r="O259" s="80">
        <f t="shared" si="11"/>
        <v>0</v>
      </c>
      <c r="P259" s="18">
        <v>0</v>
      </c>
      <c r="Q259" s="18">
        <f>IFERROR(VLOOKUP(D259,'[1]TT CÁ NHÂN'!$E$3:$F$407,2,FALSE),0)</f>
        <v>0</v>
      </c>
    </row>
    <row r="260" spans="1:17" s="18" customFormat="1" ht="21" customHeight="1" x14ac:dyDescent="0.25">
      <c r="A260" s="19" t="s">
        <v>102</v>
      </c>
      <c r="B260" s="20">
        <v>258</v>
      </c>
      <c r="C260" s="26" t="s">
        <v>311</v>
      </c>
      <c r="D260" s="27">
        <v>5610271151</v>
      </c>
      <c r="E260" s="23">
        <v>0</v>
      </c>
      <c r="F260" s="23">
        <v>700000</v>
      </c>
      <c r="G260" s="23">
        <v>0</v>
      </c>
      <c r="H260" s="23">
        <v>0</v>
      </c>
      <c r="I260" s="23">
        <v>9792900</v>
      </c>
      <c r="J260" s="23">
        <v>10881000</v>
      </c>
      <c r="K260" s="24">
        <f t="shared" si="12"/>
        <v>21373900</v>
      </c>
      <c r="L260" s="23">
        <v>1142505</v>
      </c>
      <c r="M260" s="24">
        <v>15500000</v>
      </c>
      <c r="N260" s="24">
        <f t="shared" ref="N260:N323" si="13">K260-L260-M260</f>
        <v>4731395</v>
      </c>
      <c r="O260" s="80">
        <f t="shared" ref="O260:O323" si="14">ROUND(IF(N260&gt;100000000,N260*35%-14500000,IF(N260&gt;60000000,N260*30%-9500000,IF(N260&gt;30000000,N260*20%-3500000,IF(N260&gt;10000000,N260*10%-500000,IF(N260&gt;0,N260*5%,0))))),-3)</f>
        <v>237000</v>
      </c>
      <c r="P260" s="18" t="s">
        <v>691</v>
      </c>
      <c r="Q260" s="18" t="str">
        <f>IFERROR(VLOOKUP(D260,'[1]TT CÁ NHÂN'!$E$3:$F$407,2,FALSE),0)</f>
        <v>sautam71@gmail.com</v>
      </c>
    </row>
    <row r="261" spans="1:17" s="18" customFormat="1" ht="21" customHeight="1" x14ac:dyDescent="0.25">
      <c r="A261" s="19" t="s">
        <v>25</v>
      </c>
      <c r="B261" s="20">
        <v>259</v>
      </c>
      <c r="C261" s="25" t="s">
        <v>312</v>
      </c>
      <c r="D261" s="22">
        <v>5623454958</v>
      </c>
      <c r="E261" s="23">
        <v>0</v>
      </c>
      <c r="F261" s="23">
        <v>700000</v>
      </c>
      <c r="G261" s="23">
        <v>0</v>
      </c>
      <c r="H261" s="23">
        <v>0</v>
      </c>
      <c r="I261" s="23">
        <v>6381180</v>
      </c>
      <c r="J261" s="23">
        <v>7090200</v>
      </c>
      <c r="K261" s="24">
        <f t="shared" si="12"/>
        <v>14171380</v>
      </c>
      <c r="L261" s="23">
        <v>744471</v>
      </c>
      <c r="M261" s="24">
        <v>21700000</v>
      </c>
      <c r="N261" s="24">
        <f t="shared" si="13"/>
        <v>-8273091</v>
      </c>
      <c r="O261" s="80">
        <f t="shared" si="14"/>
        <v>0</v>
      </c>
      <c r="P261" s="18" t="s">
        <v>692</v>
      </c>
      <c r="Q261" s="18" t="str">
        <f>IFERROR(VLOOKUP(D261,'[1]TT CÁ NHÂN'!$E$3:$F$407,2,FALSE),0)</f>
        <v>nguyenthuthao014@gmail.com</v>
      </c>
    </row>
    <row r="262" spans="1:17" s="18" customFormat="1" ht="21" customHeight="1" x14ac:dyDescent="0.25">
      <c r="A262" s="19" t="s">
        <v>22</v>
      </c>
      <c r="B262" s="20">
        <v>260</v>
      </c>
      <c r="C262" s="41" t="s">
        <v>313</v>
      </c>
      <c r="D262" s="22">
        <v>8833373275</v>
      </c>
      <c r="E262" s="23">
        <v>0</v>
      </c>
      <c r="F262" s="23">
        <v>700000</v>
      </c>
      <c r="G262" s="23">
        <v>0</v>
      </c>
      <c r="H262" s="23">
        <v>0</v>
      </c>
      <c r="I262" s="23">
        <v>7012980</v>
      </c>
      <c r="J262" s="23">
        <v>7792200</v>
      </c>
      <c r="K262" s="24">
        <f t="shared" si="12"/>
        <v>15505180</v>
      </c>
      <c r="L262" s="23">
        <v>818181</v>
      </c>
      <c r="M262" s="24">
        <v>21700000</v>
      </c>
      <c r="N262" s="24">
        <f t="shared" si="13"/>
        <v>-7013001</v>
      </c>
      <c r="O262" s="80">
        <f t="shared" si="14"/>
        <v>0</v>
      </c>
      <c r="P262" s="18" t="s">
        <v>693</v>
      </c>
      <c r="Q262" s="18" t="str">
        <f>IFERROR(VLOOKUP(D262,'[1]TT CÁ NHÂN'!$E$3:$F$407,2,FALSE),0)</f>
        <v>thuy.dp0915@gmail.com</v>
      </c>
    </row>
    <row r="263" spans="1:17" s="18" customFormat="1" ht="21" customHeight="1" x14ac:dyDescent="0.25">
      <c r="A263" s="19" t="s">
        <v>50</v>
      </c>
      <c r="B263" s="20">
        <v>261</v>
      </c>
      <c r="C263" s="30" t="s">
        <v>314</v>
      </c>
      <c r="D263" s="22">
        <v>5623448766</v>
      </c>
      <c r="E263" s="23">
        <v>111000</v>
      </c>
      <c r="F263" s="23">
        <v>700000</v>
      </c>
      <c r="G263" s="23">
        <v>0</v>
      </c>
      <c r="H263" s="23">
        <v>0</v>
      </c>
      <c r="I263" s="23">
        <v>6444360</v>
      </c>
      <c r="J263" s="23">
        <v>7160400</v>
      </c>
      <c r="K263" s="24">
        <f t="shared" si="12"/>
        <v>14415760</v>
      </c>
      <c r="L263" s="23">
        <v>751842</v>
      </c>
      <c r="M263" s="24">
        <v>15500000</v>
      </c>
      <c r="N263" s="24">
        <f t="shared" si="13"/>
        <v>-1836082</v>
      </c>
      <c r="O263" s="80">
        <f t="shared" si="14"/>
        <v>0</v>
      </c>
      <c r="P263" s="18" t="s">
        <v>694</v>
      </c>
      <c r="Q263" s="18" t="str">
        <f>IFERROR(VLOOKUP(D263,'[1]TT CÁ NHÂN'!$E$3:$F$407,2,FALSE),0)</f>
        <v>thuythuydp123@gmail.com</v>
      </c>
    </row>
    <row r="264" spans="1:17" s="18" customFormat="1" ht="21" customHeight="1" x14ac:dyDescent="0.25">
      <c r="A264" s="19" t="s">
        <v>27</v>
      </c>
      <c r="B264" s="20">
        <v>262</v>
      </c>
      <c r="C264" s="26" t="s">
        <v>315</v>
      </c>
      <c r="D264" s="27">
        <v>8897399144</v>
      </c>
      <c r="E264" s="23">
        <v>0</v>
      </c>
      <c r="F264" s="23">
        <v>700000</v>
      </c>
      <c r="G264" s="23">
        <v>0</v>
      </c>
      <c r="H264" s="23">
        <v>0</v>
      </c>
      <c r="I264" s="23">
        <v>7707960</v>
      </c>
      <c r="J264" s="23">
        <v>8564400</v>
      </c>
      <c r="K264" s="24">
        <f t="shared" si="12"/>
        <v>16972360</v>
      </c>
      <c r="L264" s="23">
        <v>899262</v>
      </c>
      <c r="M264" s="24">
        <v>21700000</v>
      </c>
      <c r="N264" s="24">
        <f t="shared" si="13"/>
        <v>-5626902</v>
      </c>
      <c r="O264" s="80">
        <f t="shared" si="14"/>
        <v>0</v>
      </c>
      <c r="P264" s="18" t="s">
        <v>695</v>
      </c>
      <c r="Q264" s="18" t="str">
        <f>IFERROR(VLOOKUP(D264,'[1]TT CÁ NHÂN'!$E$3:$F$407,2,FALSE),0)</f>
        <v>nguyenthithuyhaqb@gmail.com</v>
      </c>
    </row>
    <row r="265" spans="1:17" s="18" customFormat="1" ht="21" customHeight="1" x14ac:dyDescent="0.25">
      <c r="A265" s="19" t="s">
        <v>50</v>
      </c>
      <c r="B265" s="20">
        <v>263</v>
      </c>
      <c r="C265" s="26" t="s">
        <v>316</v>
      </c>
      <c r="D265" s="27">
        <v>5611150262</v>
      </c>
      <c r="E265" s="23">
        <v>0</v>
      </c>
      <c r="F265" s="23">
        <v>700000</v>
      </c>
      <c r="G265" s="23">
        <v>0</v>
      </c>
      <c r="H265" s="23">
        <v>3866427</v>
      </c>
      <c r="I265" s="23">
        <v>6381180</v>
      </c>
      <c r="J265" s="23">
        <v>7090200</v>
      </c>
      <c r="K265" s="24">
        <f t="shared" si="12"/>
        <v>18037807</v>
      </c>
      <c r="L265" s="23">
        <v>744471</v>
      </c>
      <c r="M265" s="24">
        <v>34100000</v>
      </c>
      <c r="N265" s="24">
        <f t="shared" si="13"/>
        <v>-16806664</v>
      </c>
      <c r="O265" s="80">
        <f t="shared" si="14"/>
        <v>0</v>
      </c>
      <c r="P265" s="18" t="s">
        <v>696</v>
      </c>
      <c r="Q265" s="18" t="str">
        <f>IFERROR(VLOOKUP(D265,'[1]TT CÁ NHÂN'!$E$3:$F$407,2,FALSE),0)</f>
        <v>nganskssdn92@gmail.com</v>
      </c>
    </row>
    <row r="266" spans="1:17" s="18" customFormat="1" ht="21" customHeight="1" x14ac:dyDescent="0.25">
      <c r="A266" s="19" t="s">
        <v>31</v>
      </c>
      <c r="B266" s="20">
        <v>264</v>
      </c>
      <c r="C266" s="25" t="s">
        <v>317</v>
      </c>
      <c r="D266" s="22">
        <v>8813369423</v>
      </c>
      <c r="E266" s="23">
        <v>0</v>
      </c>
      <c r="F266" s="23">
        <v>700000</v>
      </c>
      <c r="G266" s="23">
        <v>0</v>
      </c>
      <c r="H266" s="23">
        <v>0</v>
      </c>
      <c r="I266" s="23">
        <v>0</v>
      </c>
      <c r="J266" s="23">
        <v>9336600</v>
      </c>
      <c r="K266" s="24">
        <f t="shared" si="12"/>
        <v>10036600</v>
      </c>
      <c r="L266" s="23">
        <v>980343</v>
      </c>
      <c r="M266" s="24">
        <v>21700000</v>
      </c>
      <c r="N266" s="24">
        <f t="shared" si="13"/>
        <v>-12643743</v>
      </c>
      <c r="O266" s="80">
        <f t="shared" si="14"/>
        <v>0</v>
      </c>
      <c r="P266" s="18" t="s">
        <v>697</v>
      </c>
      <c r="Q266" s="18" t="str">
        <f>IFERROR(VLOOKUP(D266,'[1]TT CÁ NHÂN'!$E$3:$F$407,2,FALSE),0)</f>
        <v>tuyetanhkdytcdcdanang@gmail.com</v>
      </c>
    </row>
    <row r="267" spans="1:17" s="18" customFormat="1" ht="21" customHeight="1" x14ac:dyDescent="0.25">
      <c r="A267" s="19" t="s">
        <v>102</v>
      </c>
      <c r="B267" s="20">
        <v>265</v>
      </c>
      <c r="C267" s="31" t="s">
        <v>318</v>
      </c>
      <c r="D267" s="22">
        <v>5623447958</v>
      </c>
      <c r="E267" s="23">
        <v>222000</v>
      </c>
      <c r="F267" s="23">
        <v>700000</v>
      </c>
      <c r="G267" s="23">
        <v>0</v>
      </c>
      <c r="H267" s="23">
        <v>0</v>
      </c>
      <c r="I267" s="23">
        <v>8402940</v>
      </c>
      <c r="J267" s="23">
        <v>9336600</v>
      </c>
      <c r="K267" s="24">
        <f t="shared" si="12"/>
        <v>18661540</v>
      </c>
      <c r="L267" s="23">
        <v>980343</v>
      </c>
      <c r="M267" s="24">
        <v>21700000</v>
      </c>
      <c r="N267" s="24">
        <f t="shared" si="13"/>
        <v>-4018803</v>
      </c>
      <c r="O267" s="80">
        <f t="shared" si="14"/>
        <v>0</v>
      </c>
      <c r="P267" s="18" t="s">
        <v>698</v>
      </c>
      <c r="Q267" s="18" t="str">
        <f>IFERROR(VLOOKUP(D267,'[1]TT CÁ NHÂN'!$E$3:$F$407,2,FALSE),0)</f>
        <v>thivankt@gmail.com</v>
      </c>
    </row>
    <row r="268" spans="1:17" s="18" customFormat="1" ht="21" customHeight="1" x14ac:dyDescent="0.25">
      <c r="A268" s="19" t="s">
        <v>61</v>
      </c>
      <c r="B268" s="20">
        <v>266</v>
      </c>
      <c r="C268" s="26" t="s">
        <v>319</v>
      </c>
      <c r="D268" s="27">
        <v>8827396113</v>
      </c>
      <c r="E268" s="23">
        <v>0</v>
      </c>
      <c r="F268" s="23">
        <v>700000</v>
      </c>
      <c r="G268" s="23">
        <v>0</v>
      </c>
      <c r="H268" s="23">
        <v>0</v>
      </c>
      <c r="I268" s="23">
        <v>8402940</v>
      </c>
      <c r="J268" s="23">
        <v>9336600</v>
      </c>
      <c r="K268" s="24">
        <f t="shared" si="12"/>
        <v>18439540</v>
      </c>
      <c r="L268" s="23">
        <v>980343</v>
      </c>
      <c r="M268" s="24">
        <v>21700000</v>
      </c>
      <c r="N268" s="24">
        <f t="shared" si="13"/>
        <v>-4240803</v>
      </c>
      <c r="O268" s="80">
        <f t="shared" si="14"/>
        <v>0</v>
      </c>
      <c r="P268" s="18" t="s">
        <v>699</v>
      </c>
      <c r="Q268" s="18" t="str">
        <f>IFERROR(VLOOKUP(D268,'[1]TT CÁ NHÂN'!$E$3:$F$407,2,FALSE),0)</f>
        <v>camntv@danang.gov.vn</v>
      </c>
    </row>
    <row r="269" spans="1:17" s="18" customFormat="1" ht="21" customHeight="1" x14ac:dyDescent="0.25">
      <c r="A269" s="19" t="s">
        <v>61</v>
      </c>
      <c r="B269" s="20">
        <v>267</v>
      </c>
      <c r="C269" s="31" t="s">
        <v>320</v>
      </c>
      <c r="D269" s="22">
        <v>8853369429</v>
      </c>
      <c r="E269" s="23">
        <v>0</v>
      </c>
      <c r="F269" s="23">
        <v>700000</v>
      </c>
      <c r="G269" s="23">
        <v>0</v>
      </c>
      <c r="H269" s="23">
        <v>0</v>
      </c>
      <c r="I269" s="23">
        <v>0</v>
      </c>
      <c r="J269" s="23">
        <v>5967000</v>
      </c>
      <c r="K269" s="24">
        <f t="shared" si="12"/>
        <v>6667000</v>
      </c>
      <c r="L269" s="23">
        <v>626535</v>
      </c>
      <c r="M269" s="24">
        <v>15500000</v>
      </c>
      <c r="N269" s="24">
        <f t="shared" si="13"/>
        <v>-9459535</v>
      </c>
      <c r="O269" s="80">
        <f t="shared" si="14"/>
        <v>0</v>
      </c>
      <c r="P269" s="18" t="s">
        <v>829</v>
      </c>
      <c r="Q269" s="18" t="str">
        <f>IFERROR(VLOOKUP(D269,'[1]TT CÁ NHÂN'!$E$3:$F$407,2,FALSE),0)</f>
        <v>xuananh130289@gmail.com</v>
      </c>
    </row>
    <row r="270" spans="1:17" s="18" customFormat="1" ht="21" customHeight="1" x14ac:dyDescent="0.25">
      <c r="A270" s="19" t="s">
        <v>64</v>
      </c>
      <c r="B270" s="20">
        <v>268</v>
      </c>
      <c r="C270" s="31" t="s">
        <v>321</v>
      </c>
      <c r="D270" s="22">
        <v>5623448003</v>
      </c>
      <c r="E270" s="23">
        <v>0</v>
      </c>
      <c r="F270" s="23">
        <v>700000</v>
      </c>
      <c r="G270" s="23">
        <v>0</v>
      </c>
      <c r="H270" s="23">
        <v>0</v>
      </c>
      <c r="I270" s="23">
        <v>8992620</v>
      </c>
      <c r="J270" s="23">
        <v>9991800</v>
      </c>
      <c r="K270" s="24">
        <f t="shared" si="12"/>
        <v>19684420</v>
      </c>
      <c r="L270" s="23">
        <v>1049139</v>
      </c>
      <c r="M270" s="24">
        <v>15500000</v>
      </c>
      <c r="N270" s="24">
        <f t="shared" si="13"/>
        <v>3135281</v>
      </c>
      <c r="O270" s="80">
        <f t="shared" si="14"/>
        <v>157000</v>
      </c>
      <c r="P270" s="18" t="s">
        <v>700</v>
      </c>
      <c r="Q270" s="18" t="str">
        <f>IFERROR(VLOOKUP(D270,'[1]TT CÁ NHÂN'!$E$3:$F$407,2,FALSE),0)</f>
        <v>Nguyenxuanhuong.dmx454@gmail.com</v>
      </c>
    </row>
    <row r="271" spans="1:17" s="18" customFormat="1" ht="21" customHeight="1" x14ac:dyDescent="0.25">
      <c r="A271" s="19" t="s">
        <v>38</v>
      </c>
      <c r="B271" s="20">
        <v>269</v>
      </c>
      <c r="C271" s="30" t="s">
        <v>322</v>
      </c>
      <c r="D271" s="22">
        <v>8823373260</v>
      </c>
      <c r="E271" s="23">
        <v>0</v>
      </c>
      <c r="F271" s="23">
        <v>700000</v>
      </c>
      <c r="G271" s="23">
        <v>0</v>
      </c>
      <c r="H271" s="23">
        <v>0</v>
      </c>
      <c r="I271" s="23">
        <v>0</v>
      </c>
      <c r="J271" s="23">
        <v>7792200</v>
      </c>
      <c r="K271" s="24">
        <f t="shared" si="12"/>
        <v>8492200</v>
      </c>
      <c r="L271" s="23">
        <v>818181</v>
      </c>
      <c r="M271" s="24">
        <v>34100000</v>
      </c>
      <c r="N271" s="24">
        <f t="shared" si="13"/>
        <v>-26425981</v>
      </c>
      <c r="O271" s="80">
        <f t="shared" si="14"/>
        <v>0</v>
      </c>
      <c r="P271" s="18" t="s">
        <v>701</v>
      </c>
      <c r="Q271" s="18" t="str">
        <f>IFERROR(VLOOKUP(D271,'[1]TT CÁ NHÂN'!$E$3:$F$407,2,FALSE),0)</f>
        <v>yennguyenpre@gmail.com</v>
      </c>
    </row>
    <row r="272" spans="1:17" s="18" customFormat="1" ht="21" customHeight="1" x14ac:dyDescent="0.25">
      <c r="A272" s="19" t="s">
        <v>38</v>
      </c>
      <c r="B272" s="20">
        <v>270</v>
      </c>
      <c r="C272" s="26" t="s">
        <v>323</v>
      </c>
      <c r="D272" s="27">
        <v>5610756205</v>
      </c>
      <c r="E272" s="23">
        <v>0</v>
      </c>
      <c r="F272" s="23">
        <v>700000</v>
      </c>
      <c r="G272" s="23">
        <v>0</v>
      </c>
      <c r="H272" s="23">
        <v>0</v>
      </c>
      <c r="I272" s="23">
        <v>7012980</v>
      </c>
      <c r="J272" s="23">
        <v>7792200</v>
      </c>
      <c r="K272" s="24">
        <f t="shared" si="12"/>
        <v>15505180</v>
      </c>
      <c r="L272" s="23">
        <v>818181</v>
      </c>
      <c r="M272" s="24">
        <v>15500000</v>
      </c>
      <c r="N272" s="24">
        <f t="shared" si="13"/>
        <v>-813001</v>
      </c>
      <c r="O272" s="80">
        <f t="shared" si="14"/>
        <v>0</v>
      </c>
      <c r="P272" s="18" t="s">
        <v>702</v>
      </c>
      <c r="Q272" s="18" t="str">
        <f>IFERROR(VLOOKUP(D272,'[1]TT CÁ NHÂN'!$E$3:$F$407,2,FALSE),0)</f>
        <v>yena178@gmail.com</v>
      </c>
    </row>
    <row r="273" spans="1:17" s="18" customFormat="1" ht="21" customHeight="1" x14ac:dyDescent="0.25">
      <c r="A273" s="19" t="s">
        <v>50</v>
      </c>
      <c r="B273" s="20">
        <v>271</v>
      </c>
      <c r="C273" s="26" t="s">
        <v>323</v>
      </c>
      <c r="D273" s="27">
        <v>5611150271</v>
      </c>
      <c r="E273" s="23">
        <v>240000</v>
      </c>
      <c r="F273" s="23">
        <v>700000</v>
      </c>
      <c r="G273" s="23">
        <v>0</v>
      </c>
      <c r="H273" s="23">
        <v>0</v>
      </c>
      <c r="I273" s="23">
        <v>0</v>
      </c>
      <c r="J273" s="23">
        <v>8073000</v>
      </c>
      <c r="K273" s="24">
        <f t="shared" si="12"/>
        <v>9013000</v>
      </c>
      <c r="L273" s="23">
        <v>847665</v>
      </c>
      <c r="M273" s="24">
        <v>21700000</v>
      </c>
      <c r="N273" s="24">
        <f t="shared" si="13"/>
        <v>-13534665</v>
      </c>
      <c r="O273" s="80">
        <f t="shared" si="14"/>
        <v>0</v>
      </c>
      <c r="P273" s="18" t="s">
        <v>703</v>
      </c>
      <c r="Q273" s="18" t="str">
        <f>IFERROR(VLOOKUP(D273,'[1]TT CÁ NHÂN'!$E$3:$F$407,2,FALSE),0)</f>
        <v>nguyenthiyen20473@gmail.com</v>
      </c>
    </row>
    <row r="274" spans="1:17" s="18" customFormat="1" ht="21" customHeight="1" x14ac:dyDescent="0.25">
      <c r="A274" s="19" t="s">
        <v>44</v>
      </c>
      <c r="B274" s="20">
        <v>272</v>
      </c>
      <c r="C274" s="26" t="s">
        <v>324</v>
      </c>
      <c r="D274" s="27">
        <v>5611148276</v>
      </c>
      <c r="E274" s="23">
        <v>0</v>
      </c>
      <c r="F274" s="23">
        <v>700000</v>
      </c>
      <c r="G274" s="23">
        <v>0</v>
      </c>
      <c r="H274" s="23">
        <v>0</v>
      </c>
      <c r="I274" s="23">
        <v>6318000</v>
      </c>
      <c r="J274" s="23">
        <v>7020000</v>
      </c>
      <c r="K274" s="24">
        <f t="shared" si="12"/>
        <v>14038000</v>
      </c>
      <c r="L274" s="23">
        <v>737100</v>
      </c>
      <c r="M274" s="24">
        <v>15500000</v>
      </c>
      <c r="N274" s="24">
        <f t="shared" si="13"/>
        <v>-2199100</v>
      </c>
      <c r="O274" s="80">
        <f t="shared" si="14"/>
        <v>0</v>
      </c>
      <c r="P274" s="18" t="s">
        <v>704</v>
      </c>
      <c r="Q274" s="18" t="str">
        <f>IFERROR(VLOOKUP(D274,'[1]TT CÁ NHÂN'!$E$3:$F$407,2,FALSE),0)</f>
        <v>hathu16081993@gmail.com</v>
      </c>
    </row>
    <row r="275" spans="1:17" s="18" customFormat="1" ht="21" customHeight="1" x14ac:dyDescent="0.25">
      <c r="A275" s="19" t="s">
        <v>34</v>
      </c>
      <c r="B275" s="20">
        <v>273</v>
      </c>
      <c r="C275" s="30" t="s">
        <v>325</v>
      </c>
      <c r="D275" s="22">
        <v>5623464452</v>
      </c>
      <c r="E275" s="23">
        <v>0</v>
      </c>
      <c r="F275" s="23">
        <v>700000</v>
      </c>
      <c r="G275" s="23">
        <v>0</v>
      </c>
      <c r="H275" s="23">
        <v>0</v>
      </c>
      <c r="I275" s="23">
        <v>5623020</v>
      </c>
      <c r="J275" s="23">
        <v>6247800</v>
      </c>
      <c r="K275" s="24">
        <f t="shared" si="12"/>
        <v>12570820</v>
      </c>
      <c r="L275" s="23">
        <v>656019</v>
      </c>
      <c r="M275" s="24">
        <v>15500000</v>
      </c>
      <c r="N275" s="24">
        <f t="shared" si="13"/>
        <v>-3585199</v>
      </c>
      <c r="O275" s="80">
        <f t="shared" si="14"/>
        <v>0</v>
      </c>
      <c r="P275" s="18" t="s">
        <v>705</v>
      </c>
      <c r="Q275" s="18" t="str">
        <f>IFERROR(VLOOKUP(D275,'[1]TT CÁ NHÂN'!$E$3:$F$407,2,FALSE),0)</f>
        <v>Trungtinhdn95@gmail.com</v>
      </c>
    </row>
    <row r="276" spans="1:17" s="18" customFormat="1" ht="21" customHeight="1" x14ac:dyDescent="0.25">
      <c r="A276" s="19" t="s">
        <v>27</v>
      </c>
      <c r="B276" s="20">
        <v>274</v>
      </c>
      <c r="C276" s="31" t="s">
        <v>326</v>
      </c>
      <c r="D276" s="22">
        <v>5623454967</v>
      </c>
      <c r="E276" s="23">
        <v>0</v>
      </c>
      <c r="F276" s="23">
        <v>700000</v>
      </c>
      <c r="G276" s="23">
        <v>0</v>
      </c>
      <c r="H276" s="23">
        <v>0</v>
      </c>
      <c r="I276" s="23">
        <v>8760960</v>
      </c>
      <c r="J276" s="23">
        <v>9734400</v>
      </c>
      <c r="K276" s="24">
        <f t="shared" si="12"/>
        <v>19195360</v>
      </c>
      <c r="L276" s="23">
        <v>1022112</v>
      </c>
      <c r="M276" s="24">
        <v>21700000</v>
      </c>
      <c r="N276" s="24">
        <f t="shared" si="13"/>
        <v>-3526752</v>
      </c>
      <c r="O276" s="80">
        <f t="shared" si="14"/>
        <v>0</v>
      </c>
      <c r="P276" s="18" t="s">
        <v>706</v>
      </c>
      <c r="Q276" s="18" t="str">
        <f>IFERROR(VLOOKUP(D276,'[1]TT CÁ NHÂN'!$E$3:$F$407,2,FALSE),0)</f>
        <v>nguyentruongduyqn@gmail.com</v>
      </c>
    </row>
    <row r="277" spans="1:17" s="18" customFormat="1" ht="21" customHeight="1" x14ac:dyDescent="0.25">
      <c r="A277" s="19" t="s">
        <v>25</v>
      </c>
      <c r="B277" s="20">
        <v>275</v>
      </c>
      <c r="C277" s="41" t="s">
        <v>327</v>
      </c>
      <c r="D277" s="22">
        <v>8893369401</v>
      </c>
      <c r="E277" s="23">
        <v>0</v>
      </c>
      <c r="F277" s="23">
        <v>700000</v>
      </c>
      <c r="G277" s="23">
        <v>0</v>
      </c>
      <c r="H277" s="23">
        <v>0</v>
      </c>
      <c r="I277" s="23">
        <v>10150920</v>
      </c>
      <c r="J277" s="23">
        <v>11278800</v>
      </c>
      <c r="K277" s="24">
        <f t="shared" si="12"/>
        <v>22129720</v>
      </c>
      <c r="L277" s="23">
        <v>1184274</v>
      </c>
      <c r="M277" s="24">
        <v>34100000</v>
      </c>
      <c r="N277" s="24">
        <f t="shared" si="13"/>
        <v>-13154554</v>
      </c>
      <c r="O277" s="80">
        <f t="shared" si="14"/>
        <v>0</v>
      </c>
      <c r="P277" s="18" t="s">
        <v>707</v>
      </c>
      <c r="Q277" s="18" t="str">
        <f>IFERROR(VLOOKUP(D277,'[1]TT CÁ NHÂN'!$E$3:$F$407,2,FALSE),0)</f>
        <v>nguyenhanhdt79@gmail.com</v>
      </c>
    </row>
    <row r="278" spans="1:17" s="18" customFormat="1" ht="21" customHeight="1" x14ac:dyDescent="0.25">
      <c r="A278" s="19" t="s">
        <v>31</v>
      </c>
      <c r="B278" s="20">
        <v>276</v>
      </c>
      <c r="C278" s="26" t="s">
        <v>328</v>
      </c>
      <c r="D278" s="27">
        <v>5611148249</v>
      </c>
      <c r="E278" s="23">
        <v>0</v>
      </c>
      <c r="F278" s="23">
        <v>700000</v>
      </c>
      <c r="G278" s="23">
        <v>0</v>
      </c>
      <c r="H278" s="23">
        <v>0</v>
      </c>
      <c r="I278" s="23">
        <v>5623020</v>
      </c>
      <c r="J278" s="23">
        <v>6247800</v>
      </c>
      <c r="K278" s="24">
        <f t="shared" si="12"/>
        <v>12570820</v>
      </c>
      <c r="L278" s="23">
        <v>656019</v>
      </c>
      <c r="M278" s="24">
        <v>27900000</v>
      </c>
      <c r="N278" s="24">
        <f t="shared" si="13"/>
        <v>-15985199</v>
      </c>
      <c r="O278" s="80">
        <f t="shared" si="14"/>
        <v>0</v>
      </c>
      <c r="P278" s="18" t="s">
        <v>708</v>
      </c>
      <c r="Q278" s="18" t="str">
        <f>IFERROR(VLOOKUP(D278,'[1]TT CÁ NHÂN'!$E$3:$F$407,2,FALSE),0)</f>
        <v>Nguyenvluong1991@gmail.com</v>
      </c>
    </row>
    <row r="279" spans="1:17" s="18" customFormat="1" ht="21" customHeight="1" x14ac:dyDescent="0.25">
      <c r="A279" s="19" t="s">
        <v>57</v>
      </c>
      <c r="B279" s="20">
        <v>277</v>
      </c>
      <c r="C279" s="26" t="s">
        <v>329</v>
      </c>
      <c r="D279" s="27">
        <v>5610416758</v>
      </c>
      <c r="E279" s="23">
        <v>0</v>
      </c>
      <c r="F279" s="23">
        <v>700000</v>
      </c>
      <c r="G279" s="23">
        <v>0</v>
      </c>
      <c r="H279" s="23">
        <v>0</v>
      </c>
      <c r="I279" s="23">
        <v>8402940</v>
      </c>
      <c r="J279" s="23">
        <v>9336600</v>
      </c>
      <c r="K279" s="24">
        <f t="shared" si="12"/>
        <v>18439540</v>
      </c>
      <c r="L279" s="23">
        <v>980343</v>
      </c>
      <c r="M279" s="24">
        <v>21700000</v>
      </c>
      <c r="N279" s="24">
        <f t="shared" si="13"/>
        <v>-4240803</v>
      </c>
      <c r="O279" s="80">
        <f t="shared" si="14"/>
        <v>0</v>
      </c>
      <c r="P279" s="18" t="s">
        <v>709</v>
      </c>
      <c r="Q279" s="18" t="str">
        <f>IFERROR(VLOOKUP(D279,'[1]TT CÁ NHÂN'!$E$3:$F$407,2,FALSE),0)</f>
        <v>vanthunguyen2000@gmail.com</v>
      </c>
    </row>
    <row r="280" spans="1:17" s="18" customFormat="1" ht="21" customHeight="1" x14ac:dyDescent="0.25">
      <c r="A280" s="19" t="s">
        <v>31</v>
      </c>
      <c r="B280" s="20">
        <v>278</v>
      </c>
      <c r="C280" s="31" t="s">
        <v>330</v>
      </c>
      <c r="D280" s="22">
        <v>8863369404</v>
      </c>
      <c r="E280" s="23">
        <v>0</v>
      </c>
      <c r="F280" s="23">
        <v>700000</v>
      </c>
      <c r="G280" s="23">
        <v>0</v>
      </c>
      <c r="H280" s="23">
        <v>0</v>
      </c>
      <c r="I280" s="23">
        <v>6318000</v>
      </c>
      <c r="J280" s="23">
        <v>7020000</v>
      </c>
      <c r="K280" s="24">
        <f t="shared" si="12"/>
        <v>14038000</v>
      </c>
      <c r="L280" s="23">
        <v>737100</v>
      </c>
      <c r="M280" s="24">
        <v>15500000</v>
      </c>
      <c r="N280" s="24">
        <f t="shared" si="13"/>
        <v>-2199100</v>
      </c>
      <c r="O280" s="80">
        <f t="shared" si="14"/>
        <v>0</v>
      </c>
      <c r="P280" s="18" t="s">
        <v>710</v>
      </c>
      <c r="Q280" s="18" t="str">
        <f>IFERROR(VLOOKUP(D280,'[1]TT CÁ NHÂN'!$E$3:$F$407,2,FALSE),0)</f>
        <v>vanviet121942510@gmail.com</v>
      </c>
    </row>
    <row r="281" spans="1:17" s="18" customFormat="1" ht="21" customHeight="1" x14ac:dyDescent="0.25">
      <c r="A281" s="19" t="s">
        <v>112</v>
      </c>
      <c r="B281" s="20">
        <v>279</v>
      </c>
      <c r="C281" s="25" t="s">
        <v>331</v>
      </c>
      <c r="D281" s="22">
        <v>8823373279</v>
      </c>
      <c r="E281" s="23">
        <v>0</v>
      </c>
      <c r="F281" s="23">
        <v>700000</v>
      </c>
      <c r="G281" s="23">
        <v>0</v>
      </c>
      <c r="H281" s="23">
        <v>0</v>
      </c>
      <c r="I281" s="23">
        <v>5623020</v>
      </c>
      <c r="J281" s="23">
        <v>6247800</v>
      </c>
      <c r="K281" s="24">
        <f t="shared" si="12"/>
        <v>12570820</v>
      </c>
      <c r="L281" s="23">
        <v>656019</v>
      </c>
      <c r="M281" s="24">
        <v>15500000</v>
      </c>
      <c r="N281" s="24">
        <f t="shared" si="13"/>
        <v>-3585199</v>
      </c>
      <c r="O281" s="80">
        <f t="shared" si="14"/>
        <v>0</v>
      </c>
      <c r="P281" s="18" t="s">
        <v>711</v>
      </c>
      <c r="Q281" s="18" t="str">
        <f>IFERROR(VLOOKUP(D281,'[1]TT CÁ NHÂN'!$E$3:$F$407,2,FALSE),0)</f>
        <v>Nguyenvietthanh016@gmail.com</v>
      </c>
    </row>
    <row r="282" spans="1:17" s="18" customFormat="1" ht="21" customHeight="1" x14ac:dyDescent="0.25">
      <c r="A282" s="19" t="s">
        <v>61</v>
      </c>
      <c r="B282" s="20">
        <v>280</v>
      </c>
      <c r="C282" s="26" t="s">
        <v>332</v>
      </c>
      <c r="D282" s="27">
        <v>5650100271</v>
      </c>
      <c r="E282" s="23">
        <v>0</v>
      </c>
      <c r="F282" s="23">
        <v>700000</v>
      </c>
      <c r="G282" s="23">
        <v>0</v>
      </c>
      <c r="H282" s="23">
        <v>0</v>
      </c>
      <c r="I282" s="23">
        <v>7012980</v>
      </c>
      <c r="J282" s="23">
        <v>7792200</v>
      </c>
      <c r="K282" s="24">
        <f t="shared" si="12"/>
        <v>15505180</v>
      </c>
      <c r="L282" s="23">
        <v>818181</v>
      </c>
      <c r="M282" s="24">
        <v>15500000</v>
      </c>
      <c r="N282" s="24">
        <f t="shared" si="13"/>
        <v>-813001</v>
      </c>
      <c r="O282" s="80">
        <f t="shared" si="14"/>
        <v>0</v>
      </c>
      <c r="P282" s="18" t="s">
        <v>712</v>
      </c>
      <c r="Q282" s="18" t="str">
        <f>IFERROR(VLOOKUP(D282,'[1]TT CÁ NHÂN'!$E$3:$F$407,2,FALSE),0)</f>
        <v>trangnvt@danang.gov.vn</v>
      </c>
    </row>
    <row r="283" spans="1:17" s="18" customFormat="1" ht="21" customHeight="1" x14ac:dyDescent="0.25">
      <c r="A283" s="19" t="s">
        <v>157</v>
      </c>
      <c r="B283" s="20">
        <v>281</v>
      </c>
      <c r="C283" s="26" t="s">
        <v>333</v>
      </c>
      <c r="D283" s="27">
        <v>5610413810</v>
      </c>
      <c r="E283" s="23">
        <v>0</v>
      </c>
      <c r="F283" s="23">
        <v>700000</v>
      </c>
      <c r="G283" s="23">
        <v>0</v>
      </c>
      <c r="H283" s="23">
        <v>0</v>
      </c>
      <c r="I283" s="23">
        <v>7686900</v>
      </c>
      <c r="J283" s="23">
        <v>8541000</v>
      </c>
      <c r="K283" s="24">
        <f t="shared" si="12"/>
        <v>16927900</v>
      </c>
      <c r="L283" s="23">
        <v>896805</v>
      </c>
      <c r="M283" s="24">
        <v>27900000</v>
      </c>
      <c r="N283" s="24">
        <f t="shared" si="13"/>
        <v>-11868905</v>
      </c>
      <c r="O283" s="80">
        <f t="shared" si="14"/>
        <v>0</v>
      </c>
      <c r="P283" s="18" t="s">
        <v>713</v>
      </c>
      <c r="Q283" s="18" t="str">
        <f>IFERROR(VLOOKUP(D283,'[1]TT CÁ NHÂN'!$E$3:$F$407,2,FALSE),0)</f>
        <v>123buocddeu@gmail.com</v>
      </c>
    </row>
    <row r="284" spans="1:17" s="18" customFormat="1" ht="21" customHeight="1" x14ac:dyDescent="0.25">
      <c r="A284" s="19" t="s">
        <v>31</v>
      </c>
      <c r="B284" s="20">
        <v>282</v>
      </c>
      <c r="C284" s="26" t="s">
        <v>334</v>
      </c>
      <c r="D284" s="27">
        <v>5611273840</v>
      </c>
      <c r="E284" s="23">
        <v>0</v>
      </c>
      <c r="F284" s="23">
        <v>700000</v>
      </c>
      <c r="G284" s="23">
        <v>0</v>
      </c>
      <c r="H284" s="23">
        <v>0</v>
      </c>
      <c r="I284" s="23">
        <v>0</v>
      </c>
      <c r="J284" s="23">
        <v>6247800</v>
      </c>
      <c r="K284" s="24">
        <f t="shared" si="12"/>
        <v>6947800</v>
      </c>
      <c r="L284" s="23">
        <v>656019</v>
      </c>
      <c r="M284" s="24">
        <v>15500000</v>
      </c>
      <c r="N284" s="24">
        <f t="shared" si="13"/>
        <v>-9208219</v>
      </c>
      <c r="O284" s="80">
        <f t="shared" si="14"/>
        <v>0</v>
      </c>
      <c r="P284" s="18" t="s">
        <v>714</v>
      </c>
      <c r="Q284" s="18" t="str">
        <f>IFERROR(VLOOKUP(D284,'[1]TT CÁ NHÂN'!$E$3:$F$407,2,FALSE),0)</f>
        <v>Ongvananh112@gmail.com</v>
      </c>
    </row>
    <row r="285" spans="1:17" s="18" customFormat="1" ht="21" customHeight="1" x14ac:dyDescent="0.25">
      <c r="A285" s="19" t="s">
        <v>61</v>
      </c>
      <c r="B285" s="20">
        <v>283</v>
      </c>
      <c r="C285" s="26" t="s">
        <v>335</v>
      </c>
      <c r="D285" s="27">
        <v>5611148188</v>
      </c>
      <c r="E285" s="23">
        <v>100000</v>
      </c>
      <c r="F285" s="23">
        <v>700000</v>
      </c>
      <c r="G285" s="23">
        <v>0</v>
      </c>
      <c r="H285" s="23">
        <v>0</v>
      </c>
      <c r="I285" s="23">
        <v>0</v>
      </c>
      <c r="J285" s="23">
        <v>4352400</v>
      </c>
      <c r="K285" s="24">
        <f t="shared" si="12"/>
        <v>5152400</v>
      </c>
      <c r="L285" s="23">
        <v>457002</v>
      </c>
      <c r="M285" s="24">
        <v>15500000</v>
      </c>
      <c r="N285" s="24">
        <f t="shared" si="13"/>
        <v>-10804602</v>
      </c>
      <c r="O285" s="80">
        <f t="shared" si="14"/>
        <v>0</v>
      </c>
      <c r="P285" s="18">
        <v>0</v>
      </c>
      <c r="Q285" s="18">
        <f>IFERROR(VLOOKUP(D285,'[1]TT CÁ NHÂN'!$E$3:$F$407,2,FALSE),0)</f>
        <v>0</v>
      </c>
    </row>
    <row r="286" spans="1:17" s="18" customFormat="1" ht="21" customHeight="1" x14ac:dyDescent="0.25">
      <c r="A286" s="19" t="s">
        <v>38</v>
      </c>
      <c r="B286" s="20">
        <v>284</v>
      </c>
      <c r="C286" s="30" t="s">
        <v>336</v>
      </c>
      <c r="D286" s="22">
        <v>8893381244</v>
      </c>
      <c r="E286" s="23">
        <v>0</v>
      </c>
      <c r="F286" s="23">
        <v>700000</v>
      </c>
      <c r="G286" s="23">
        <v>0</v>
      </c>
      <c r="H286" s="23">
        <v>0</v>
      </c>
      <c r="I286" s="23">
        <v>5623020</v>
      </c>
      <c r="J286" s="23">
        <v>6247800</v>
      </c>
      <c r="K286" s="24">
        <f t="shared" si="12"/>
        <v>12570820</v>
      </c>
      <c r="L286" s="23">
        <v>656019</v>
      </c>
      <c r="M286" s="24">
        <v>21700000</v>
      </c>
      <c r="N286" s="24">
        <f t="shared" si="13"/>
        <v>-9785199</v>
      </c>
      <c r="O286" s="80">
        <f t="shared" si="14"/>
        <v>0</v>
      </c>
      <c r="P286" s="18" t="s">
        <v>715</v>
      </c>
      <c r="Q286" s="18" t="str">
        <f>IFERROR(VLOOKUP(D286,'[1]TT CÁ NHÂN'!$E$3:$F$407,2,FALSE),0)</f>
        <v>phamduyphuongnhi@gmail.com</v>
      </c>
    </row>
    <row r="287" spans="1:17" s="18" customFormat="1" ht="21" customHeight="1" x14ac:dyDescent="0.25">
      <c r="A287" s="19" t="s">
        <v>64</v>
      </c>
      <c r="B287" s="20">
        <v>285</v>
      </c>
      <c r="C287" s="26" t="s">
        <v>337</v>
      </c>
      <c r="D287" s="27">
        <v>5610225167</v>
      </c>
      <c r="E287" s="23">
        <v>0</v>
      </c>
      <c r="F287" s="23">
        <v>700000</v>
      </c>
      <c r="G287" s="23">
        <v>0</v>
      </c>
      <c r="H287" s="23">
        <v>0</v>
      </c>
      <c r="I287" s="23">
        <v>8339760</v>
      </c>
      <c r="J287" s="23">
        <v>9266400</v>
      </c>
      <c r="K287" s="24">
        <f t="shared" si="12"/>
        <v>18306160</v>
      </c>
      <c r="L287" s="23">
        <v>972972</v>
      </c>
      <c r="M287" s="24">
        <v>27900000</v>
      </c>
      <c r="N287" s="24">
        <f t="shared" si="13"/>
        <v>-10566812</v>
      </c>
      <c r="O287" s="80">
        <f t="shared" si="14"/>
        <v>0</v>
      </c>
      <c r="P287" s="18" t="s">
        <v>716</v>
      </c>
      <c r="Q287" s="18" t="str">
        <f>IFERROR(VLOOKUP(D287,'[1]TT CÁ NHÂN'!$E$3:$F$407,2,FALSE),0)</f>
        <v>phuongkhanhpham80@gmail.com</v>
      </c>
    </row>
    <row r="288" spans="1:17" s="18" customFormat="1" ht="21" customHeight="1" x14ac:dyDescent="0.25">
      <c r="A288" s="19" t="s">
        <v>102</v>
      </c>
      <c r="B288" s="20">
        <v>286</v>
      </c>
      <c r="C288" s="26" t="s">
        <v>338</v>
      </c>
      <c r="D288" s="27">
        <v>5610597574</v>
      </c>
      <c r="E288" s="23">
        <v>0</v>
      </c>
      <c r="F288" s="23">
        <v>700000</v>
      </c>
      <c r="G288" s="23">
        <v>0</v>
      </c>
      <c r="H288" s="23">
        <v>0</v>
      </c>
      <c r="I288" s="23">
        <v>7034040</v>
      </c>
      <c r="J288" s="23">
        <v>7815600</v>
      </c>
      <c r="K288" s="24">
        <f t="shared" si="12"/>
        <v>15549640</v>
      </c>
      <c r="L288" s="23">
        <v>820638</v>
      </c>
      <c r="M288" s="24">
        <v>21700000</v>
      </c>
      <c r="N288" s="24">
        <f t="shared" si="13"/>
        <v>-6970998</v>
      </c>
      <c r="O288" s="80">
        <f t="shared" si="14"/>
        <v>0</v>
      </c>
      <c r="P288" s="18" t="s">
        <v>717</v>
      </c>
      <c r="Q288" s="18" t="str">
        <f>IFERROR(VLOOKUP(D288,'[1]TT CÁ NHÂN'!$E$3:$F$407,2,FALSE),0)</f>
        <v>Phamphuan1987@gmail.com</v>
      </c>
    </row>
    <row r="289" spans="1:17" s="18" customFormat="1" ht="21" customHeight="1" x14ac:dyDescent="0.25">
      <c r="A289" s="19" t="s">
        <v>61</v>
      </c>
      <c r="B289" s="20">
        <v>287</v>
      </c>
      <c r="C289" s="26" t="s">
        <v>339</v>
      </c>
      <c r="D289" s="27">
        <v>5611151274</v>
      </c>
      <c r="E289" s="23">
        <v>100000</v>
      </c>
      <c r="F289" s="23">
        <v>700000</v>
      </c>
      <c r="G289" s="23">
        <v>0</v>
      </c>
      <c r="H289" s="23">
        <v>0</v>
      </c>
      <c r="I289" s="23">
        <v>0</v>
      </c>
      <c r="J289" s="23">
        <v>8550360</v>
      </c>
      <c r="K289" s="24">
        <f t="shared" si="12"/>
        <v>9350360</v>
      </c>
      <c r="L289" s="23">
        <v>897788</v>
      </c>
      <c r="M289" s="24">
        <v>21700000</v>
      </c>
      <c r="N289" s="24">
        <f t="shared" si="13"/>
        <v>-13247428</v>
      </c>
      <c r="O289" s="80">
        <f t="shared" si="14"/>
        <v>0</v>
      </c>
      <c r="P289" s="18">
        <v>0</v>
      </c>
      <c r="Q289" s="18">
        <f>IFERROR(VLOOKUP(D289,'[1]TT CÁ NHÂN'!$E$3:$F$407,2,FALSE),0)</f>
        <v>0</v>
      </c>
    </row>
    <row r="290" spans="1:17" s="18" customFormat="1" ht="21" customHeight="1" x14ac:dyDescent="0.25">
      <c r="A290" s="19" t="s">
        <v>42</v>
      </c>
      <c r="B290" s="20">
        <v>288</v>
      </c>
      <c r="C290" s="30" t="s">
        <v>340</v>
      </c>
      <c r="D290" s="22">
        <v>5623455216</v>
      </c>
      <c r="E290" s="23">
        <v>0</v>
      </c>
      <c r="F290" s="23">
        <v>700000</v>
      </c>
      <c r="G290" s="23">
        <v>0</v>
      </c>
      <c r="H290" s="23">
        <v>0</v>
      </c>
      <c r="I290" s="23">
        <v>0</v>
      </c>
      <c r="J290" s="23">
        <v>5475600</v>
      </c>
      <c r="K290" s="24">
        <f t="shared" si="12"/>
        <v>6175600</v>
      </c>
      <c r="L290" s="23">
        <v>574938</v>
      </c>
      <c r="M290" s="24">
        <v>15500000</v>
      </c>
      <c r="N290" s="24">
        <f t="shared" si="13"/>
        <v>-9899338</v>
      </c>
      <c r="O290" s="80">
        <f t="shared" si="14"/>
        <v>0</v>
      </c>
      <c r="P290" s="18" t="s">
        <v>718</v>
      </c>
      <c r="Q290" s="18" t="str">
        <f>IFERROR(VLOOKUP(D290,'[1]TT CÁ NHÂN'!$E$3:$F$407,2,FALSE),0)</f>
        <v>hungdai1608@gmail.com</v>
      </c>
    </row>
    <row r="291" spans="1:17" s="18" customFormat="1" ht="21" customHeight="1" x14ac:dyDescent="0.25">
      <c r="A291" s="19" t="s">
        <v>50</v>
      </c>
      <c r="B291" s="20">
        <v>289</v>
      </c>
      <c r="C291" s="26" t="s">
        <v>341</v>
      </c>
      <c r="D291" s="27">
        <v>5610286784</v>
      </c>
      <c r="E291" s="23">
        <v>0</v>
      </c>
      <c r="F291" s="23">
        <v>700000</v>
      </c>
      <c r="G291" s="23">
        <v>0</v>
      </c>
      <c r="H291" s="23">
        <v>945855</v>
      </c>
      <c r="I291" s="23">
        <v>11012274</v>
      </c>
      <c r="J291" s="23">
        <v>12235860</v>
      </c>
      <c r="K291" s="24">
        <f t="shared" si="12"/>
        <v>24893989</v>
      </c>
      <c r="L291" s="23">
        <v>1284765</v>
      </c>
      <c r="M291" s="24">
        <v>21700000</v>
      </c>
      <c r="N291" s="24">
        <f t="shared" si="13"/>
        <v>1909224</v>
      </c>
      <c r="O291" s="80">
        <f t="shared" si="14"/>
        <v>95000</v>
      </c>
      <c r="P291" s="18" t="s">
        <v>719</v>
      </c>
      <c r="Q291" s="18" t="str">
        <f>IFERROR(VLOOKUP(D291,'[1]TT CÁ NHÂN'!$E$3:$F$407,2,FALSE),0)</f>
        <v>hienhoanghue@gmail.com</v>
      </c>
    </row>
    <row r="292" spans="1:17" s="18" customFormat="1" ht="21" customHeight="1" x14ac:dyDescent="0.25">
      <c r="A292" s="19" t="s">
        <v>40</v>
      </c>
      <c r="B292" s="20">
        <v>290</v>
      </c>
      <c r="C292" s="40" t="s">
        <v>342</v>
      </c>
      <c r="D292" s="22">
        <v>5623455094</v>
      </c>
      <c r="E292" s="23">
        <v>0</v>
      </c>
      <c r="F292" s="23">
        <v>700000</v>
      </c>
      <c r="G292" s="23">
        <v>0</v>
      </c>
      <c r="H292" s="23">
        <v>0</v>
      </c>
      <c r="I292" s="23">
        <v>7686900</v>
      </c>
      <c r="J292" s="23">
        <v>8541000</v>
      </c>
      <c r="K292" s="24">
        <f t="shared" si="12"/>
        <v>16927900</v>
      </c>
      <c r="L292" s="23">
        <v>896805</v>
      </c>
      <c r="M292" s="24">
        <v>27900000</v>
      </c>
      <c r="N292" s="24">
        <f t="shared" si="13"/>
        <v>-11868905</v>
      </c>
      <c r="O292" s="80">
        <f t="shared" si="14"/>
        <v>0</v>
      </c>
      <c r="P292" s="18" t="s">
        <v>720</v>
      </c>
      <c r="Q292" s="18" t="str">
        <f>IFERROR(VLOOKUP(D292,'[1]TT CÁ NHÂN'!$E$3:$F$407,2,FALSE),0)</f>
        <v>china06c1@gmail.com</v>
      </c>
    </row>
    <row r="293" spans="1:17" s="18" customFormat="1" ht="21" customHeight="1" x14ac:dyDescent="0.25">
      <c r="A293" s="19" t="s">
        <v>50</v>
      </c>
      <c r="B293" s="20">
        <v>291</v>
      </c>
      <c r="C293" s="26" t="s">
        <v>343</v>
      </c>
      <c r="D293" s="27">
        <v>5610475704</v>
      </c>
      <c r="E293" s="23">
        <v>1202000</v>
      </c>
      <c r="F293" s="23">
        <v>700000</v>
      </c>
      <c r="G293" s="23">
        <v>0</v>
      </c>
      <c r="H293" s="23">
        <v>0</v>
      </c>
      <c r="I293" s="23">
        <v>7469280</v>
      </c>
      <c r="J293" s="23">
        <v>8541000</v>
      </c>
      <c r="K293" s="24">
        <f t="shared" si="12"/>
        <v>17912280</v>
      </c>
      <c r="L293" s="23">
        <v>896805</v>
      </c>
      <c r="M293" s="24">
        <v>27900000</v>
      </c>
      <c r="N293" s="24">
        <f t="shared" si="13"/>
        <v>-10884525</v>
      </c>
      <c r="O293" s="80">
        <f t="shared" si="14"/>
        <v>0</v>
      </c>
      <c r="P293" s="18" t="s">
        <v>721</v>
      </c>
      <c r="Q293" s="18" t="str">
        <f>IFERROR(VLOOKUP(D293,'[1]TT CÁ NHÂN'!$E$3:$F$407,2,FALSE),0)</f>
        <v>ha010588.qn@gmail.com</v>
      </c>
    </row>
    <row r="294" spans="1:17" s="18" customFormat="1" ht="21" customHeight="1" x14ac:dyDescent="0.25">
      <c r="A294" s="19" t="s">
        <v>157</v>
      </c>
      <c r="B294" s="20">
        <v>292</v>
      </c>
      <c r="C294" s="26" t="s">
        <v>344</v>
      </c>
      <c r="D294" s="27">
        <v>5610703380</v>
      </c>
      <c r="E294" s="23">
        <v>0</v>
      </c>
      <c r="F294" s="23">
        <v>700000</v>
      </c>
      <c r="G294" s="23">
        <v>0</v>
      </c>
      <c r="H294" s="23">
        <v>0</v>
      </c>
      <c r="I294" s="23">
        <v>7012980</v>
      </c>
      <c r="J294" s="23">
        <v>7792200</v>
      </c>
      <c r="K294" s="24">
        <f t="shared" si="12"/>
        <v>15505180</v>
      </c>
      <c r="L294" s="23">
        <v>818181</v>
      </c>
      <c r="M294" s="24">
        <v>21700000</v>
      </c>
      <c r="N294" s="24">
        <f t="shared" si="13"/>
        <v>-7013001</v>
      </c>
      <c r="O294" s="80">
        <f t="shared" si="14"/>
        <v>0</v>
      </c>
      <c r="P294" s="18" t="s">
        <v>722</v>
      </c>
      <c r="Q294" s="18" t="str">
        <f>IFERROR(VLOOKUP(D294,'[1]TT CÁ NHÂN'!$E$3:$F$407,2,FALSE),0)</f>
        <v>phamthihieuxn36B@gmail.com</v>
      </c>
    </row>
    <row r="295" spans="1:17" s="18" customFormat="1" ht="21" customHeight="1" x14ac:dyDescent="0.25">
      <c r="A295" s="19" t="s">
        <v>55</v>
      </c>
      <c r="B295" s="20">
        <v>293</v>
      </c>
      <c r="C295" s="26" t="s">
        <v>345</v>
      </c>
      <c r="D295" s="27">
        <v>5611149932</v>
      </c>
      <c r="E295" s="23">
        <v>0</v>
      </c>
      <c r="F295" s="23">
        <v>700000</v>
      </c>
      <c r="G295" s="23">
        <v>0</v>
      </c>
      <c r="H295" s="23">
        <v>0</v>
      </c>
      <c r="I295" s="23">
        <v>11012274</v>
      </c>
      <c r="J295" s="23">
        <v>12235860</v>
      </c>
      <c r="K295" s="24">
        <f t="shared" si="12"/>
        <v>23948134</v>
      </c>
      <c r="L295" s="23">
        <v>1284765</v>
      </c>
      <c r="M295" s="24">
        <v>21700000</v>
      </c>
      <c r="N295" s="24">
        <f t="shared" si="13"/>
        <v>963369</v>
      </c>
      <c r="O295" s="80">
        <f t="shared" si="14"/>
        <v>48000</v>
      </c>
      <c r="P295" s="18" t="s">
        <v>723</v>
      </c>
      <c r="Q295" s="18" t="str">
        <f>IFERROR(VLOOKUP(D295,'[1]TT CÁ NHÂN'!$E$3:$F$407,2,FALSE),0)</f>
        <v>phamkimdung70@gmail.com</v>
      </c>
    </row>
    <row r="296" spans="1:17" s="18" customFormat="1" ht="21" customHeight="1" x14ac:dyDescent="0.25">
      <c r="A296" s="19" t="s">
        <v>38</v>
      </c>
      <c r="B296" s="20">
        <v>294</v>
      </c>
      <c r="C296" s="26" t="s">
        <v>346</v>
      </c>
      <c r="D296" s="27">
        <v>5611218072</v>
      </c>
      <c r="E296" s="23">
        <v>0</v>
      </c>
      <c r="F296" s="23">
        <v>700000</v>
      </c>
      <c r="G296" s="23">
        <v>0</v>
      </c>
      <c r="H296" s="23">
        <v>0</v>
      </c>
      <c r="I296" s="23">
        <v>5623020</v>
      </c>
      <c r="J296" s="23">
        <v>6247800</v>
      </c>
      <c r="K296" s="24">
        <f t="shared" si="12"/>
        <v>12570820</v>
      </c>
      <c r="L296" s="23">
        <v>656019</v>
      </c>
      <c r="M296" s="24">
        <v>21700000</v>
      </c>
      <c r="N296" s="24">
        <f t="shared" si="13"/>
        <v>-9785199</v>
      </c>
      <c r="O296" s="80">
        <f t="shared" si="14"/>
        <v>0</v>
      </c>
      <c r="P296" s="18" t="s">
        <v>724</v>
      </c>
      <c r="Q296" s="18" t="str">
        <f>IFERROR(VLOOKUP(D296,'[1]TT CÁ NHÂN'!$E$3:$F$407,2,FALSE),0)</f>
        <v>thinam.dnpm@gmail.com</v>
      </c>
    </row>
    <row r="297" spans="1:17" s="18" customFormat="1" ht="21" customHeight="1" x14ac:dyDescent="0.25">
      <c r="A297" s="50" t="s">
        <v>347</v>
      </c>
      <c r="B297" s="20">
        <v>295</v>
      </c>
      <c r="C297" s="44" t="s">
        <v>348</v>
      </c>
      <c r="D297" s="45">
        <v>5602105921</v>
      </c>
      <c r="E297" s="23">
        <v>0</v>
      </c>
      <c r="F297" s="23">
        <v>700000</v>
      </c>
      <c r="G297" s="23">
        <v>0</v>
      </c>
      <c r="H297" s="23">
        <v>0</v>
      </c>
      <c r="I297" s="23">
        <v>4928040</v>
      </c>
      <c r="J297" s="23">
        <v>5475600</v>
      </c>
      <c r="K297" s="24">
        <f t="shared" si="12"/>
        <v>11103640</v>
      </c>
      <c r="L297" s="23">
        <v>574938</v>
      </c>
      <c r="M297" s="24">
        <v>15500000</v>
      </c>
      <c r="N297" s="24">
        <f t="shared" si="13"/>
        <v>-4971298</v>
      </c>
      <c r="O297" s="80">
        <f t="shared" si="14"/>
        <v>0</v>
      </c>
      <c r="P297" s="18" t="s">
        <v>828</v>
      </c>
      <c r="Q297" s="18" t="str">
        <f>IFERROR(VLOOKUP(D297,'[1]TT CÁ NHÂN'!$E$3:$F$407,2,FALSE),0)</f>
        <v>quynhquynh683@gmail.com</v>
      </c>
    </row>
    <row r="298" spans="1:17" s="18" customFormat="1" ht="21" customHeight="1" x14ac:dyDescent="0.25">
      <c r="A298" s="19" t="s">
        <v>25</v>
      </c>
      <c r="B298" s="20">
        <v>296</v>
      </c>
      <c r="C298" s="26" t="s">
        <v>349</v>
      </c>
      <c r="D298" s="27">
        <v>5610559495</v>
      </c>
      <c r="E298" s="23">
        <v>0</v>
      </c>
      <c r="F298" s="23">
        <v>700000</v>
      </c>
      <c r="G298" s="23">
        <v>0</v>
      </c>
      <c r="H298" s="23">
        <v>0</v>
      </c>
      <c r="I298" s="23">
        <v>7034040</v>
      </c>
      <c r="J298" s="23">
        <v>7815600</v>
      </c>
      <c r="K298" s="24">
        <f t="shared" si="12"/>
        <v>15549640</v>
      </c>
      <c r="L298" s="23">
        <v>820638</v>
      </c>
      <c r="M298" s="24">
        <v>27900000</v>
      </c>
      <c r="N298" s="24">
        <f t="shared" si="13"/>
        <v>-13170998</v>
      </c>
      <c r="O298" s="80">
        <f t="shared" si="14"/>
        <v>0</v>
      </c>
      <c r="P298" s="18" t="s">
        <v>725</v>
      </c>
      <c r="Q298" s="18" t="str">
        <f>IFERROR(VLOOKUP(D298,'[1]TT CÁ NHÂN'!$E$3:$F$407,2,FALSE),0)</f>
        <v>pttm989@gmail.com</v>
      </c>
    </row>
    <row r="299" spans="1:17" s="18" customFormat="1" ht="21" customHeight="1" x14ac:dyDescent="0.25">
      <c r="A299" s="19" t="s">
        <v>22</v>
      </c>
      <c r="B299" s="20">
        <v>297</v>
      </c>
      <c r="C299" s="31" t="s">
        <v>350</v>
      </c>
      <c r="D299" s="22">
        <v>8803378519</v>
      </c>
      <c r="E299" s="23">
        <v>0</v>
      </c>
      <c r="F299" s="23">
        <v>700000</v>
      </c>
      <c r="G299" s="23">
        <v>0</v>
      </c>
      <c r="H299" s="23">
        <v>0</v>
      </c>
      <c r="I299" s="23">
        <v>9792900</v>
      </c>
      <c r="J299" s="23">
        <v>10881000</v>
      </c>
      <c r="K299" s="24">
        <f t="shared" si="12"/>
        <v>21373900</v>
      </c>
      <c r="L299" s="23">
        <v>1142505</v>
      </c>
      <c r="M299" s="24">
        <v>15500000</v>
      </c>
      <c r="N299" s="24">
        <f t="shared" si="13"/>
        <v>4731395</v>
      </c>
      <c r="O299" s="80">
        <f t="shared" si="14"/>
        <v>237000</v>
      </c>
      <c r="P299" s="18" t="s">
        <v>726</v>
      </c>
      <c r="Q299" s="18" t="str">
        <f>IFERROR(VLOOKUP(D299,'[1]TT CÁ NHÂN'!$E$3:$F$407,2,FALSE),0)</f>
        <v>thaomai372@gmail.com</v>
      </c>
    </row>
    <row r="300" spans="1:17" s="18" customFormat="1" ht="21" customHeight="1" x14ac:dyDescent="0.25">
      <c r="A300" s="19" t="s">
        <v>22</v>
      </c>
      <c r="B300" s="20">
        <v>298</v>
      </c>
      <c r="C300" s="26" t="s">
        <v>351</v>
      </c>
      <c r="D300" s="27">
        <v>5611148364</v>
      </c>
      <c r="E300" s="23">
        <v>0</v>
      </c>
      <c r="F300" s="23">
        <v>700000</v>
      </c>
      <c r="G300" s="23">
        <v>0</v>
      </c>
      <c r="H300" s="23">
        <v>0</v>
      </c>
      <c r="I300" s="23">
        <v>9792900</v>
      </c>
      <c r="J300" s="23">
        <v>10881000</v>
      </c>
      <c r="K300" s="24">
        <f t="shared" si="12"/>
        <v>21373900</v>
      </c>
      <c r="L300" s="23">
        <v>1142505</v>
      </c>
      <c r="M300" s="24">
        <v>27900000</v>
      </c>
      <c r="N300" s="24">
        <f t="shared" si="13"/>
        <v>-7668605</v>
      </c>
      <c r="O300" s="80">
        <f t="shared" si="14"/>
        <v>0</v>
      </c>
      <c r="P300" s="18" t="s">
        <v>727</v>
      </c>
      <c r="Q300" s="18" t="str">
        <f>IFERROR(VLOOKUP(D300,'[1]TT CÁ NHÂN'!$E$3:$F$407,2,FALSE),0)</f>
        <v>hungkdqt@gmail.com</v>
      </c>
    </row>
    <row r="301" spans="1:17" s="18" customFormat="1" ht="21" customHeight="1" x14ac:dyDescent="0.25">
      <c r="A301" s="19" t="s">
        <v>38</v>
      </c>
      <c r="B301" s="20">
        <v>299</v>
      </c>
      <c r="C301" s="26" t="s">
        <v>352</v>
      </c>
      <c r="D301" s="27">
        <v>5610226267</v>
      </c>
      <c r="E301" s="23">
        <v>0</v>
      </c>
      <c r="F301" s="23">
        <v>700000</v>
      </c>
      <c r="G301" s="23">
        <v>0</v>
      </c>
      <c r="H301" s="23">
        <v>0</v>
      </c>
      <c r="I301" s="23">
        <v>11536668</v>
      </c>
      <c r="J301" s="23">
        <v>12818520</v>
      </c>
      <c r="K301" s="24">
        <f t="shared" si="12"/>
        <v>25055188</v>
      </c>
      <c r="L301" s="23">
        <v>1345945</v>
      </c>
      <c r="M301" s="24">
        <v>21700000</v>
      </c>
      <c r="N301" s="24">
        <f t="shared" si="13"/>
        <v>2009243</v>
      </c>
      <c r="O301" s="80">
        <f t="shared" si="14"/>
        <v>100000</v>
      </c>
      <c r="P301" s="18" t="s">
        <v>728</v>
      </c>
      <c r="Q301" s="18" t="str">
        <f>IFERROR(VLOOKUP(D301,'[1]TT CÁ NHÂN'!$E$3:$F$407,2,FALSE),0)</f>
        <v>mypham1966@gmail.com</v>
      </c>
    </row>
    <row r="302" spans="1:17" s="18" customFormat="1" ht="21" customHeight="1" x14ac:dyDescent="0.25">
      <c r="A302" s="19" t="s">
        <v>157</v>
      </c>
      <c r="B302" s="20">
        <v>300</v>
      </c>
      <c r="C302" s="26" t="s">
        <v>353</v>
      </c>
      <c r="D302" s="27">
        <v>5610413829</v>
      </c>
      <c r="E302" s="23">
        <v>0</v>
      </c>
      <c r="F302" s="23">
        <v>700000</v>
      </c>
      <c r="G302" s="23">
        <v>0</v>
      </c>
      <c r="H302" s="23">
        <v>0</v>
      </c>
      <c r="I302" s="23">
        <v>8402940</v>
      </c>
      <c r="J302" s="23">
        <v>9336600</v>
      </c>
      <c r="K302" s="24">
        <f t="shared" si="12"/>
        <v>18439540</v>
      </c>
      <c r="L302" s="23">
        <v>980343</v>
      </c>
      <c r="M302" s="24">
        <v>21700000</v>
      </c>
      <c r="N302" s="24">
        <f t="shared" si="13"/>
        <v>-4240803</v>
      </c>
      <c r="O302" s="80">
        <f t="shared" si="14"/>
        <v>0</v>
      </c>
      <c r="P302" s="18" t="s">
        <v>729</v>
      </c>
      <c r="Q302" s="18" t="str">
        <f>IFERROR(VLOOKUP(D302,'[1]TT CÁ NHÂN'!$E$3:$F$407,2,FALSE),0)</f>
        <v>Phamvietson01@gmail.com</v>
      </c>
    </row>
    <row r="303" spans="1:17" s="18" customFormat="1" ht="21" customHeight="1" x14ac:dyDescent="0.25">
      <c r="A303" s="19" t="s">
        <v>38</v>
      </c>
      <c r="B303" s="20">
        <v>301</v>
      </c>
      <c r="C303" s="26" t="s">
        <v>354</v>
      </c>
      <c r="D303" s="27">
        <v>5611553700</v>
      </c>
      <c r="E303" s="23">
        <v>0</v>
      </c>
      <c r="F303" s="23">
        <v>700000</v>
      </c>
      <c r="G303" s="23">
        <v>0</v>
      </c>
      <c r="H303" s="23">
        <v>0</v>
      </c>
      <c r="I303" s="23">
        <v>0</v>
      </c>
      <c r="J303" s="23">
        <v>5475600</v>
      </c>
      <c r="K303" s="24">
        <f t="shared" si="12"/>
        <v>6175600</v>
      </c>
      <c r="L303" s="23">
        <v>574938</v>
      </c>
      <c r="M303" s="24">
        <v>15500000</v>
      </c>
      <c r="N303" s="24">
        <f t="shared" si="13"/>
        <v>-9899338</v>
      </c>
      <c r="O303" s="80">
        <f t="shared" si="14"/>
        <v>0</v>
      </c>
      <c r="P303" s="18" t="s">
        <v>730</v>
      </c>
      <c r="Q303" s="18" t="str">
        <f>IFERROR(VLOOKUP(D303,'[1]TT CÁ NHÂN'!$E$3:$F$407,2,FALSE),0)</f>
        <v>drpckha@gmail.com</v>
      </c>
    </row>
    <row r="304" spans="1:17" s="18" customFormat="1" ht="21" customHeight="1" x14ac:dyDescent="0.25">
      <c r="A304" s="19" t="s">
        <v>61</v>
      </c>
      <c r="B304" s="20">
        <v>302</v>
      </c>
      <c r="C304" s="26" t="s">
        <v>355</v>
      </c>
      <c r="D304" s="27">
        <v>8891646062</v>
      </c>
      <c r="E304" s="23">
        <v>0</v>
      </c>
      <c r="F304" s="23">
        <v>700000</v>
      </c>
      <c r="G304" s="23">
        <v>0</v>
      </c>
      <c r="H304" s="23">
        <v>0</v>
      </c>
      <c r="I304" s="23">
        <v>8402940</v>
      </c>
      <c r="J304" s="23">
        <v>9336600</v>
      </c>
      <c r="K304" s="24">
        <f t="shared" si="12"/>
        <v>18439540</v>
      </c>
      <c r="L304" s="23">
        <v>980343</v>
      </c>
      <c r="M304" s="24">
        <v>15500000</v>
      </c>
      <c r="N304" s="24">
        <f t="shared" si="13"/>
        <v>1959197</v>
      </c>
      <c r="O304" s="80">
        <f t="shared" si="14"/>
        <v>98000</v>
      </c>
      <c r="P304" s="18" t="s">
        <v>731</v>
      </c>
      <c r="Q304" s="18" t="str">
        <f>IFERROR(VLOOKUP(D304,'[1]TT CÁ NHÂN'!$E$3:$F$407,2,FALSE),0)</f>
        <v>phanchienthang.pct@gmail.com</v>
      </c>
    </row>
    <row r="305" spans="1:17" s="18" customFormat="1" ht="21" customHeight="1" x14ac:dyDescent="0.25">
      <c r="A305" s="19" t="s">
        <v>44</v>
      </c>
      <c r="B305" s="20">
        <v>303</v>
      </c>
      <c r="C305" s="30" t="s">
        <v>356</v>
      </c>
      <c r="D305" s="22">
        <v>5624660350</v>
      </c>
      <c r="E305" s="23">
        <v>0</v>
      </c>
      <c r="F305" s="23">
        <v>700000</v>
      </c>
      <c r="G305" s="23">
        <v>0</v>
      </c>
      <c r="H305" s="23">
        <v>0</v>
      </c>
      <c r="I305" s="23">
        <v>4928040</v>
      </c>
      <c r="J305" s="23">
        <v>5475600</v>
      </c>
      <c r="K305" s="24">
        <f t="shared" si="12"/>
        <v>11103640</v>
      </c>
      <c r="L305" s="23">
        <v>574938</v>
      </c>
      <c r="M305" s="24">
        <v>15500000</v>
      </c>
      <c r="N305" s="24">
        <f t="shared" si="13"/>
        <v>-4971298</v>
      </c>
      <c r="O305" s="80">
        <f t="shared" si="14"/>
        <v>0</v>
      </c>
      <c r="P305" s="18" t="s">
        <v>732</v>
      </c>
      <c r="Q305" s="18" t="str">
        <f>IFERROR(VLOOKUP(D305,'[1]TT CÁ NHÂN'!$E$3:$F$407,2,FALSE),0)</f>
        <v>phannguyentralinh1998@gmail.com</v>
      </c>
    </row>
    <row r="306" spans="1:17" s="18" customFormat="1" ht="21" customHeight="1" x14ac:dyDescent="0.25">
      <c r="A306" s="19" t="s">
        <v>22</v>
      </c>
      <c r="B306" s="20">
        <v>304</v>
      </c>
      <c r="C306" s="25" t="s">
        <v>357</v>
      </c>
      <c r="D306" s="22">
        <v>5623455030</v>
      </c>
      <c r="E306" s="23">
        <v>0</v>
      </c>
      <c r="F306" s="23">
        <v>700000</v>
      </c>
      <c r="G306" s="23">
        <v>0</v>
      </c>
      <c r="H306" s="23">
        <v>0</v>
      </c>
      <c r="I306" s="23">
        <v>6318000</v>
      </c>
      <c r="J306" s="23">
        <v>7020000</v>
      </c>
      <c r="K306" s="24">
        <f t="shared" si="12"/>
        <v>14038000</v>
      </c>
      <c r="L306" s="23">
        <v>737100</v>
      </c>
      <c r="M306" s="24">
        <v>15500000</v>
      </c>
      <c r="N306" s="24">
        <f t="shared" si="13"/>
        <v>-2199100</v>
      </c>
      <c r="O306" s="80">
        <f t="shared" si="14"/>
        <v>0</v>
      </c>
      <c r="P306" s="18" t="s">
        <v>827</v>
      </c>
      <c r="Q306" s="18" t="str">
        <f>IFERROR(VLOOKUP(D306,'[1]TT CÁ NHÂN'!$E$3:$F$407,2,FALSE),0)</f>
        <v>quyenphan2506@gmail.com</v>
      </c>
    </row>
    <row r="307" spans="1:17" s="18" customFormat="1" ht="21" customHeight="1" x14ac:dyDescent="0.25">
      <c r="A307" s="19" t="s">
        <v>71</v>
      </c>
      <c r="B307" s="20">
        <v>305</v>
      </c>
      <c r="C307" s="26" t="s">
        <v>358</v>
      </c>
      <c r="D307" s="27">
        <v>5610637355</v>
      </c>
      <c r="E307" s="23">
        <v>0</v>
      </c>
      <c r="F307" s="23">
        <v>700000</v>
      </c>
      <c r="G307" s="23">
        <v>0</v>
      </c>
      <c r="H307" s="23">
        <v>0</v>
      </c>
      <c r="I307" s="23">
        <v>6381180</v>
      </c>
      <c r="J307" s="23">
        <v>7090200</v>
      </c>
      <c r="K307" s="24">
        <f t="shared" si="12"/>
        <v>14171380</v>
      </c>
      <c r="L307" s="23">
        <v>744471</v>
      </c>
      <c r="M307" s="24">
        <v>21700000</v>
      </c>
      <c r="N307" s="24">
        <f t="shared" si="13"/>
        <v>-8273091</v>
      </c>
      <c r="O307" s="80">
        <f t="shared" si="14"/>
        <v>0</v>
      </c>
      <c r="P307" s="18" t="s">
        <v>733</v>
      </c>
      <c r="Q307" s="18" t="str">
        <f>IFERROR(VLOOKUP(D307,'[1]TT CÁ NHÂN'!$E$3:$F$407,2,FALSE),0)</f>
        <v>nhattoana252@gmail.com</v>
      </c>
    </row>
    <row r="308" spans="1:17" s="18" customFormat="1" ht="21" customHeight="1" x14ac:dyDescent="0.25">
      <c r="A308" s="19" t="s">
        <v>42</v>
      </c>
      <c r="B308" s="20">
        <v>306</v>
      </c>
      <c r="C308" s="26" t="s">
        <v>359</v>
      </c>
      <c r="D308" s="27">
        <v>5611151061</v>
      </c>
      <c r="E308" s="23">
        <v>0</v>
      </c>
      <c r="F308" s="23">
        <v>700000</v>
      </c>
      <c r="G308" s="23">
        <v>0</v>
      </c>
      <c r="H308" s="23">
        <v>0</v>
      </c>
      <c r="I308" s="23">
        <v>0</v>
      </c>
      <c r="J308" s="23">
        <v>6224400</v>
      </c>
      <c r="K308" s="24">
        <f t="shared" si="12"/>
        <v>6924400</v>
      </c>
      <c r="L308" s="23">
        <v>653562</v>
      </c>
      <c r="M308" s="24">
        <v>27900000</v>
      </c>
      <c r="N308" s="24">
        <f t="shared" si="13"/>
        <v>-21629162</v>
      </c>
      <c r="O308" s="80">
        <f t="shared" si="14"/>
        <v>0</v>
      </c>
      <c r="P308" s="18" t="s">
        <v>734</v>
      </c>
      <c r="Q308" s="18" t="str">
        <f>IFERROR(VLOOKUP(D308,'[1]TT CÁ NHÂN'!$E$3:$F$407,2,FALSE),0)</f>
        <v>phansyminh92@gmail.com</v>
      </c>
    </row>
    <row r="309" spans="1:17" s="18" customFormat="1" ht="21" customHeight="1" x14ac:dyDescent="0.25">
      <c r="A309" s="19" t="s">
        <v>44</v>
      </c>
      <c r="B309" s="20">
        <v>307</v>
      </c>
      <c r="C309" s="26" t="s">
        <v>360</v>
      </c>
      <c r="D309" s="27">
        <v>5611149057</v>
      </c>
      <c r="E309" s="23">
        <v>280000</v>
      </c>
      <c r="F309" s="23">
        <v>700000</v>
      </c>
      <c r="G309" s="23">
        <v>0</v>
      </c>
      <c r="H309" s="23">
        <v>0</v>
      </c>
      <c r="I309" s="23">
        <v>8402940</v>
      </c>
      <c r="J309" s="23">
        <v>9336600</v>
      </c>
      <c r="K309" s="24">
        <f t="shared" si="12"/>
        <v>18719540</v>
      </c>
      <c r="L309" s="23">
        <v>980343</v>
      </c>
      <c r="M309" s="24">
        <v>21700000</v>
      </c>
      <c r="N309" s="24">
        <f t="shared" si="13"/>
        <v>-3960803</v>
      </c>
      <c r="O309" s="80">
        <f t="shared" si="14"/>
        <v>0</v>
      </c>
      <c r="P309" s="18" t="s">
        <v>735</v>
      </c>
      <c r="Q309" s="18" t="str">
        <f>IFERROR(VLOOKUP(D309,'[1]TT CÁ NHÂN'!$E$3:$F$407,2,FALSE),0)</f>
        <v>hoanpt.aidsdng@gmail.com</v>
      </c>
    </row>
    <row r="310" spans="1:17" s="18" customFormat="1" ht="21" customHeight="1" x14ac:dyDescent="0.25">
      <c r="A310" s="19" t="s">
        <v>42</v>
      </c>
      <c r="B310" s="20">
        <v>308</v>
      </c>
      <c r="C310" s="41" t="s">
        <v>361</v>
      </c>
      <c r="D310" s="22">
        <v>8803369412</v>
      </c>
      <c r="E310" s="23">
        <v>0</v>
      </c>
      <c r="F310" s="23">
        <v>700000</v>
      </c>
      <c r="G310" s="23">
        <v>0</v>
      </c>
      <c r="H310" s="23">
        <v>0</v>
      </c>
      <c r="I310" s="23">
        <v>4928040</v>
      </c>
      <c r="J310" s="23">
        <v>5475600</v>
      </c>
      <c r="K310" s="24">
        <f t="shared" si="12"/>
        <v>11103640</v>
      </c>
      <c r="L310" s="23">
        <v>574938</v>
      </c>
      <c r="M310" s="24">
        <v>21700000</v>
      </c>
      <c r="N310" s="24">
        <f t="shared" si="13"/>
        <v>-11171298</v>
      </c>
      <c r="O310" s="80">
        <f t="shared" si="14"/>
        <v>0</v>
      </c>
      <c r="P310" s="18" t="s">
        <v>736</v>
      </c>
      <c r="Q310" s="18" t="str">
        <f>IFERROR(VLOOKUP(D310,'[1]TT CÁ NHÂN'!$E$3:$F$407,2,FALSE),0)</f>
        <v>tycomtk@gmail.com</v>
      </c>
    </row>
    <row r="311" spans="1:17" s="18" customFormat="1" ht="21" customHeight="1" x14ac:dyDescent="0.25">
      <c r="A311" s="19" t="s">
        <v>31</v>
      </c>
      <c r="B311" s="20">
        <v>309</v>
      </c>
      <c r="C311" s="26" t="s">
        <v>362</v>
      </c>
      <c r="D311" s="27">
        <v>5611148443</v>
      </c>
      <c r="E311" s="23">
        <v>0</v>
      </c>
      <c r="F311" s="23">
        <v>700000</v>
      </c>
      <c r="G311" s="23">
        <v>0</v>
      </c>
      <c r="H311" s="23">
        <v>0</v>
      </c>
      <c r="I311" s="23">
        <v>5601960</v>
      </c>
      <c r="J311" s="23">
        <v>6224400</v>
      </c>
      <c r="K311" s="24">
        <f t="shared" si="12"/>
        <v>12526360</v>
      </c>
      <c r="L311" s="23">
        <v>653562</v>
      </c>
      <c r="M311" s="24">
        <v>27900000</v>
      </c>
      <c r="N311" s="24">
        <f t="shared" si="13"/>
        <v>-16027202</v>
      </c>
      <c r="O311" s="80">
        <f t="shared" si="14"/>
        <v>0</v>
      </c>
      <c r="P311" s="18" t="s">
        <v>737</v>
      </c>
      <c r="Q311" s="18" t="str">
        <f>IFERROR(VLOOKUP(D311,'[1]TT CÁ NHÂN'!$E$3:$F$407,2,FALSE),0)</f>
        <v>Pt.viet2310@gmail.com</v>
      </c>
    </row>
    <row r="312" spans="1:17" s="18" customFormat="1" ht="21" customHeight="1" x14ac:dyDescent="0.25">
      <c r="A312" s="19" t="s">
        <v>102</v>
      </c>
      <c r="B312" s="20">
        <v>310</v>
      </c>
      <c r="C312" s="26" t="s">
        <v>363</v>
      </c>
      <c r="D312" s="27">
        <v>5610225927</v>
      </c>
      <c r="E312" s="23">
        <v>0</v>
      </c>
      <c r="F312" s="23">
        <v>700000</v>
      </c>
      <c r="G312" s="23">
        <v>0</v>
      </c>
      <c r="H312" s="23">
        <v>0</v>
      </c>
      <c r="I312" s="23">
        <v>9792900</v>
      </c>
      <c r="J312" s="23">
        <v>11115000</v>
      </c>
      <c r="K312" s="24">
        <f t="shared" si="12"/>
        <v>21607900</v>
      </c>
      <c r="L312" s="23">
        <v>1142505</v>
      </c>
      <c r="M312" s="24">
        <v>27900000</v>
      </c>
      <c r="N312" s="24">
        <f t="shared" si="13"/>
        <v>-7434605</v>
      </c>
      <c r="O312" s="80">
        <f t="shared" si="14"/>
        <v>0</v>
      </c>
      <c r="P312" s="18" t="s">
        <v>738</v>
      </c>
      <c r="Q312" s="18" t="str">
        <f>IFERROR(VLOOKUP(D312,'[1]TT CÁ NHÂN'!$E$3:$F$407,2,FALSE),0)</f>
        <v>phananhthu79@gmai.com</v>
      </c>
    </row>
    <row r="313" spans="1:17" s="18" customFormat="1" ht="21" customHeight="1" x14ac:dyDescent="0.25">
      <c r="A313" s="19" t="s">
        <v>80</v>
      </c>
      <c r="B313" s="20">
        <v>311</v>
      </c>
      <c r="C313" s="26" t="s">
        <v>364</v>
      </c>
      <c r="D313" s="27">
        <v>5611149978</v>
      </c>
      <c r="E313" s="23">
        <v>0</v>
      </c>
      <c r="F313" s="23">
        <v>700000</v>
      </c>
      <c r="G313" s="23">
        <v>0</v>
      </c>
      <c r="H313" s="23">
        <v>0</v>
      </c>
      <c r="I313" s="23">
        <v>0</v>
      </c>
      <c r="J313" s="23">
        <v>8541000</v>
      </c>
      <c r="K313" s="24">
        <f t="shared" si="12"/>
        <v>9241000</v>
      </c>
      <c r="L313" s="23">
        <v>896805</v>
      </c>
      <c r="M313" s="24">
        <v>21700000</v>
      </c>
      <c r="N313" s="24">
        <f t="shared" si="13"/>
        <v>-13355805</v>
      </c>
      <c r="O313" s="80">
        <f t="shared" si="14"/>
        <v>0</v>
      </c>
      <c r="P313" s="18" t="s">
        <v>739</v>
      </c>
      <c r="Q313" s="18" t="str">
        <f>IFERROR(VLOOKUP(D313,'[1]TT CÁ NHÂN'!$E$3:$F$407,2,FALSE),0)</f>
        <v>phanthidung201987@gmail.com</v>
      </c>
    </row>
    <row r="314" spans="1:17" s="18" customFormat="1" ht="21" customHeight="1" x14ac:dyDescent="0.25">
      <c r="A314" s="19" t="s">
        <v>31</v>
      </c>
      <c r="B314" s="20">
        <v>312</v>
      </c>
      <c r="C314" s="26" t="s">
        <v>365</v>
      </c>
      <c r="D314" s="27">
        <v>5611151043</v>
      </c>
      <c r="E314" s="23">
        <v>0</v>
      </c>
      <c r="F314" s="23">
        <v>700000</v>
      </c>
      <c r="G314" s="23">
        <v>0</v>
      </c>
      <c r="H314" s="23">
        <v>0</v>
      </c>
      <c r="I314" s="23">
        <v>6318000</v>
      </c>
      <c r="J314" s="23">
        <v>7020000</v>
      </c>
      <c r="K314" s="24">
        <f t="shared" si="12"/>
        <v>14038000</v>
      </c>
      <c r="L314" s="23">
        <v>737100</v>
      </c>
      <c r="M314" s="24">
        <v>34100000</v>
      </c>
      <c r="N314" s="24">
        <f t="shared" si="13"/>
        <v>-20799100</v>
      </c>
      <c r="O314" s="80">
        <f t="shared" si="14"/>
        <v>0</v>
      </c>
      <c r="P314" s="18" t="s">
        <v>740</v>
      </c>
      <c r="Q314" s="18" t="str">
        <f>IFERROR(VLOOKUP(D314,'[1]TT CÁ NHÂN'!$E$3:$F$407,2,FALSE),0)</f>
        <v>hoaithu30504@gmail.com</v>
      </c>
    </row>
    <row r="315" spans="1:17" s="18" customFormat="1" ht="21" customHeight="1" x14ac:dyDescent="0.25">
      <c r="A315" s="19" t="s">
        <v>80</v>
      </c>
      <c r="B315" s="20">
        <v>313</v>
      </c>
      <c r="C315" s="26" t="s">
        <v>366</v>
      </c>
      <c r="D315" s="27">
        <v>5610540897</v>
      </c>
      <c r="E315" s="23">
        <v>0</v>
      </c>
      <c r="F315" s="23">
        <v>700000</v>
      </c>
      <c r="G315" s="23">
        <v>0</v>
      </c>
      <c r="H315" s="23">
        <v>0</v>
      </c>
      <c r="I315" s="23">
        <v>5623020</v>
      </c>
      <c r="J315" s="23">
        <v>6247800</v>
      </c>
      <c r="K315" s="24">
        <f t="shared" si="12"/>
        <v>12570820</v>
      </c>
      <c r="L315" s="23">
        <v>656019</v>
      </c>
      <c r="M315" s="24">
        <v>21700000</v>
      </c>
      <c r="N315" s="24">
        <f t="shared" si="13"/>
        <v>-9785199</v>
      </c>
      <c r="O315" s="80">
        <f t="shared" si="14"/>
        <v>0</v>
      </c>
      <c r="P315" s="18" t="s">
        <v>741</v>
      </c>
      <c r="Q315" s="18" t="str">
        <f>IFERROR(VLOOKUP(D315,'[1]TT CÁ NHÂN'!$E$3:$F$407,2,FALSE),0)</f>
        <v>hoangphan7890@gmail.com</v>
      </c>
    </row>
    <row r="316" spans="1:17" s="18" customFormat="1" ht="21" customHeight="1" x14ac:dyDescent="0.25">
      <c r="A316" s="19" t="s">
        <v>44</v>
      </c>
      <c r="B316" s="20">
        <v>314</v>
      </c>
      <c r="C316" s="30" t="s">
        <v>367</v>
      </c>
      <c r="D316" s="22">
        <v>5623462720</v>
      </c>
      <c r="E316" s="23">
        <v>0</v>
      </c>
      <c r="F316" s="23">
        <v>700000</v>
      </c>
      <c r="G316" s="23">
        <v>100000</v>
      </c>
      <c r="H316" s="23">
        <v>0</v>
      </c>
      <c r="I316" s="23">
        <v>9097920</v>
      </c>
      <c r="J316" s="23">
        <v>10108800</v>
      </c>
      <c r="K316" s="24">
        <f t="shared" si="12"/>
        <v>20006720</v>
      </c>
      <c r="L316" s="23">
        <v>1061424</v>
      </c>
      <c r="M316" s="24">
        <v>21700000</v>
      </c>
      <c r="N316" s="24">
        <f t="shared" si="13"/>
        <v>-2754704</v>
      </c>
      <c r="O316" s="80">
        <f t="shared" si="14"/>
        <v>0</v>
      </c>
      <c r="P316" s="18" t="s">
        <v>742</v>
      </c>
      <c r="Q316" s="18" t="str">
        <f>IFERROR(VLOOKUP(D316,'[1]TT CÁ NHÂN'!$E$3:$F$407,2,FALSE),0)</f>
        <v>phanninaxn@gmail.com</v>
      </c>
    </row>
    <row r="317" spans="1:17" s="18" customFormat="1" ht="21" customHeight="1" x14ac:dyDescent="0.25">
      <c r="A317" s="19" t="s">
        <v>80</v>
      </c>
      <c r="B317" s="20">
        <v>315</v>
      </c>
      <c r="C317" s="26" t="s">
        <v>368</v>
      </c>
      <c r="D317" s="27">
        <v>5611150323</v>
      </c>
      <c r="E317" s="23">
        <v>0</v>
      </c>
      <c r="F317" s="23">
        <v>700000</v>
      </c>
      <c r="G317" s="23">
        <v>0</v>
      </c>
      <c r="H317" s="23">
        <v>0</v>
      </c>
      <c r="I317" s="23">
        <v>7034040</v>
      </c>
      <c r="J317" s="23">
        <v>7815600</v>
      </c>
      <c r="K317" s="24">
        <f t="shared" si="12"/>
        <v>15549640</v>
      </c>
      <c r="L317" s="23">
        <v>820638</v>
      </c>
      <c r="M317" s="24">
        <v>27900000</v>
      </c>
      <c r="N317" s="24">
        <f t="shared" si="13"/>
        <v>-13170998</v>
      </c>
      <c r="O317" s="80">
        <f t="shared" si="14"/>
        <v>0</v>
      </c>
      <c r="P317" s="18" t="s">
        <v>743</v>
      </c>
      <c r="Q317" s="18" t="str">
        <f>IFERROR(VLOOKUP(D317,'[1]TT CÁ NHÂN'!$E$3:$F$407,2,FALSE),0)</f>
        <v>phuongvyphan87@gmail.com</v>
      </c>
    </row>
    <row r="318" spans="1:17" s="18" customFormat="1" ht="21" customHeight="1" x14ac:dyDescent="0.25">
      <c r="A318" s="19" t="s">
        <v>42</v>
      </c>
      <c r="B318" s="20">
        <v>316</v>
      </c>
      <c r="C318" s="26" t="s">
        <v>369</v>
      </c>
      <c r="D318" s="27">
        <v>5611151131</v>
      </c>
      <c r="E318" s="23">
        <v>0</v>
      </c>
      <c r="F318" s="23">
        <v>700000</v>
      </c>
      <c r="G318" s="23">
        <v>0</v>
      </c>
      <c r="H318" s="23">
        <v>0</v>
      </c>
      <c r="I318" s="23">
        <v>8402940</v>
      </c>
      <c r="J318" s="23">
        <v>9336600</v>
      </c>
      <c r="K318" s="24">
        <f t="shared" si="12"/>
        <v>18439540</v>
      </c>
      <c r="L318" s="23">
        <v>980343</v>
      </c>
      <c r="M318" s="24">
        <v>15500000</v>
      </c>
      <c r="N318" s="24">
        <f t="shared" si="13"/>
        <v>1959197</v>
      </c>
      <c r="O318" s="80">
        <f t="shared" si="14"/>
        <v>98000</v>
      </c>
      <c r="P318" s="18" t="s">
        <v>744</v>
      </c>
      <c r="Q318" s="18" t="str">
        <f>IFERROR(VLOOKUP(D318,'[1]TT CÁ NHÂN'!$E$3:$F$407,2,FALSE),0)</f>
        <v>phanthanh299@gmail.com</v>
      </c>
    </row>
    <row r="319" spans="1:17" s="18" customFormat="1" ht="21" customHeight="1" x14ac:dyDescent="0.25">
      <c r="A319" s="19" t="s">
        <v>64</v>
      </c>
      <c r="B319" s="20">
        <v>317</v>
      </c>
      <c r="C319" s="26" t="s">
        <v>370</v>
      </c>
      <c r="D319" s="27">
        <v>5610056312</v>
      </c>
      <c r="E319" s="23">
        <v>0</v>
      </c>
      <c r="F319" s="23">
        <v>700000</v>
      </c>
      <c r="G319" s="23">
        <v>0</v>
      </c>
      <c r="H319" s="23">
        <v>0</v>
      </c>
      <c r="I319" s="23">
        <v>7707960</v>
      </c>
      <c r="J319" s="23">
        <v>8564400</v>
      </c>
      <c r="K319" s="24">
        <f t="shared" si="12"/>
        <v>16972360</v>
      </c>
      <c r="L319" s="23">
        <v>899262</v>
      </c>
      <c r="M319" s="24">
        <v>27900000</v>
      </c>
      <c r="N319" s="24">
        <f t="shared" si="13"/>
        <v>-11826902</v>
      </c>
      <c r="O319" s="80">
        <f t="shared" si="14"/>
        <v>0</v>
      </c>
      <c r="P319" s="18" t="s">
        <v>745</v>
      </c>
      <c r="Q319" s="18" t="str">
        <f>IFERROR(VLOOKUP(D319,'[1]TT CÁ NHÂN'!$E$3:$F$407,2,FALSE),0)</f>
        <v>thanhhang220474@gmail.com</v>
      </c>
    </row>
    <row r="320" spans="1:17" s="18" customFormat="1" ht="21" customHeight="1" x14ac:dyDescent="0.25">
      <c r="A320" s="19" t="s">
        <v>22</v>
      </c>
      <c r="B320" s="20">
        <v>318</v>
      </c>
      <c r="C320" s="26" t="s">
        <v>371</v>
      </c>
      <c r="D320" s="27">
        <v>5610703007</v>
      </c>
      <c r="E320" s="23">
        <v>0</v>
      </c>
      <c r="F320" s="23">
        <v>700000</v>
      </c>
      <c r="G320" s="23">
        <v>0</v>
      </c>
      <c r="H320" s="23">
        <v>0</v>
      </c>
      <c r="I320" s="23">
        <v>7707960</v>
      </c>
      <c r="J320" s="23">
        <v>8564400</v>
      </c>
      <c r="K320" s="24">
        <f t="shared" si="12"/>
        <v>16972360</v>
      </c>
      <c r="L320" s="23">
        <v>899262</v>
      </c>
      <c r="M320" s="24">
        <v>21700000</v>
      </c>
      <c r="N320" s="24">
        <f t="shared" si="13"/>
        <v>-5626902</v>
      </c>
      <c r="O320" s="80">
        <f t="shared" si="14"/>
        <v>0</v>
      </c>
      <c r="P320" s="18" t="s">
        <v>746</v>
      </c>
      <c r="Q320" s="18" t="str">
        <f>IFERROR(VLOOKUP(D320,'[1]TT CÁ NHÂN'!$E$3:$F$407,2,FALSE),0)</f>
        <v>thuyduyen1404@gmail.com</v>
      </c>
    </row>
    <row r="321" spans="1:17" s="18" customFormat="1" ht="21" customHeight="1" x14ac:dyDescent="0.25">
      <c r="A321" s="19" t="s">
        <v>31</v>
      </c>
      <c r="B321" s="20">
        <v>319</v>
      </c>
      <c r="C321" s="26" t="s">
        <v>372</v>
      </c>
      <c r="D321" s="27">
        <v>5611148221</v>
      </c>
      <c r="E321" s="23">
        <v>0</v>
      </c>
      <c r="F321" s="23">
        <v>700000</v>
      </c>
      <c r="G321" s="23">
        <v>0</v>
      </c>
      <c r="H321" s="23">
        <v>0</v>
      </c>
      <c r="I321" s="23">
        <v>9455940</v>
      </c>
      <c r="J321" s="23">
        <v>10506600</v>
      </c>
      <c r="K321" s="24">
        <f t="shared" si="12"/>
        <v>20662540</v>
      </c>
      <c r="L321" s="23">
        <v>1103193</v>
      </c>
      <c r="M321" s="24">
        <v>21700000</v>
      </c>
      <c r="N321" s="24">
        <f t="shared" si="13"/>
        <v>-2140653</v>
      </c>
      <c r="O321" s="80">
        <f t="shared" si="14"/>
        <v>0</v>
      </c>
      <c r="P321" s="18" t="s">
        <v>747</v>
      </c>
      <c r="Q321" s="18" t="str">
        <f>IFERROR(VLOOKUP(D321,'[1]TT CÁ NHÂN'!$E$3:$F$407,2,FALSE),0)</f>
        <v>lienkdqt@gmail.com</v>
      </c>
    </row>
    <row r="322" spans="1:17" s="18" customFormat="1" ht="21" customHeight="1" x14ac:dyDescent="0.25">
      <c r="A322" s="19" t="s">
        <v>61</v>
      </c>
      <c r="B322" s="20">
        <v>320</v>
      </c>
      <c r="C322" s="26" t="s">
        <v>373</v>
      </c>
      <c r="D322" s="27">
        <v>5611324836</v>
      </c>
      <c r="E322" s="23">
        <v>0</v>
      </c>
      <c r="F322" s="23">
        <v>700000</v>
      </c>
      <c r="G322" s="23">
        <v>0</v>
      </c>
      <c r="H322" s="23">
        <v>0</v>
      </c>
      <c r="I322" s="23">
        <v>0</v>
      </c>
      <c r="J322" s="23">
        <v>4352400</v>
      </c>
      <c r="K322" s="24">
        <f t="shared" si="12"/>
        <v>5052400</v>
      </c>
      <c r="L322" s="23">
        <v>457002</v>
      </c>
      <c r="M322" s="24">
        <v>15500000</v>
      </c>
      <c r="N322" s="24">
        <f t="shared" si="13"/>
        <v>-10904602</v>
      </c>
      <c r="O322" s="80">
        <f t="shared" si="14"/>
        <v>0</v>
      </c>
      <c r="P322" s="18" t="s">
        <v>748</v>
      </c>
      <c r="Q322" s="18" t="str">
        <f>IFERROR(VLOOKUP(D322,'[1]TT CÁ NHÂN'!$E$3:$F$407,2,FALSE),0)</f>
        <v>tinthiphan28@gmail.com</v>
      </c>
    </row>
    <row r="323" spans="1:17" s="18" customFormat="1" ht="21" customHeight="1" x14ac:dyDescent="0.25">
      <c r="A323" s="19" t="s">
        <v>112</v>
      </c>
      <c r="B323" s="20">
        <v>321</v>
      </c>
      <c r="C323" s="26" t="s">
        <v>374</v>
      </c>
      <c r="D323" s="27">
        <v>5610493919</v>
      </c>
      <c r="E323" s="23">
        <v>0</v>
      </c>
      <c r="F323" s="23">
        <v>700000</v>
      </c>
      <c r="G323" s="23">
        <v>0</v>
      </c>
      <c r="H323" s="23">
        <v>0</v>
      </c>
      <c r="I323" s="23">
        <v>7707960</v>
      </c>
      <c r="J323" s="23">
        <v>8564400</v>
      </c>
      <c r="K323" s="24">
        <f t="shared" ref="K323:K386" si="15">SUM(E323:J323)</f>
        <v>16972360</v>
      </c>
      <c r="L323" s="23">
        <v>899262</v>
      </c>
      <c r="M323" s="24">
        <v>40300000</v>
      </c>
      <c r="N323" s="24">
        <f t="shared" si="13"/>
        <v>-24226902</v>
      </c>
      <c r="O323" s="80">
        <f t="shared" si="14"/>
        <v>0</v>
      </c>
      <c r="P323" s="18" t="s">
        <v>749</v>
      </c>
      <c r="Q323" s="18" t="str">
        <f>IFERROR(VLOOKUP(D323,'[1]TT CÁ NHÂN'!$E$3:$F$407,2,FALSE),0)</f>
        <v>yennasmile@gmail.com</v>
      </c>
    </row>
    <row r="324" spans="1:17" s="18" customFormat="1" ht="21" customHeight="1" x14ac:dyDescent="0.25">
      <c r="A324" s="19" t="s">
        <v>102</v>
      </c>
      <c r="B324" s="20">
        <v>322</v>
      </c>
      <c r="C324" s="26" t="s">
        <v>375</v>
      </c>
      <c r="D324" s="27">
        <v>5610343625</v>
      </c>
      <c r="E324" s="23">
        <v>0</v>
      </c>
      <c r="F324" s="23">
        <v>700000</v>
      </c>
      <c r="G324" s="23">
        <v>0</v>
      </c>
      <c r="H324" s="23">
        <v>0</v>
      </c>
      <c r="I324" s="23">
        <v>8402940</v>
      </c>
      <c r="J324" s="23">
        <v>9336600</v>
      </c>
      <c r="K324" s="24">
        <f t="shared" si="15"/>
        <v>18439540</v>
      </c>
      <c r="L324" s="23">
        <v>980343</v>
      </c>
      <c r="M324" s="24">
        <v>27900000</v>
      </c>
      <c r="N324" s="24">
        <f t="shared" ref="N324:N387" si="16">K324-L324-M324</f>
        <v>-10440803</v>
      </c>
      <c r="O324" s="80">
        <f t="shared" ref="O324:O387" si="17">ROUND(IF(N324&gt;100000000,N324*35%-14500000,IF(N324&gt;60000000,N324*30%-9500000,IF(N324&gt;30000000,N324*20%-3500000,IF(N324&gt;10000000,N324*10%-500000,IF(N324&gt;0,N324*5%,0))))),-3)</f>
        <v>0</v>
      </c>
      <c r="P324" s="18" t="s">
        <v>750</v>
      </c>
      <c r="Q324" s="18" t="str">
        <f>IFERROR(VLOOKUP(D324,'[1]TT CÁ NHÂN'!$E$3:$F$407,2,FALSE),0)</f>
        <v>yenlyphan2012@gmail.com</v>
      </c>
    </row>
    <row r="325" spans="1:17" s="18" customFormat="1" ht="21" customHeight="1" x14ac:dyDescent="0.25">
      <c r="A325" s="19" t="s">
        <v>31</v>
      </c>
      <c r="B325" s="20">
        <v>323</v>
      </c>
      <c r="C325" s="30" t="s">
        <v>376</v>
      </c>
      <c r="D325" s="22">
        <v>8843369418</v>
      </c>
      <c r="E325" s="23">
        <v>0</v>
      </c>
      <c r="F325" s="23">
        <v>700000</v>
      </c>
      <c r="G325" s="23">
        <v>0</v>
      </c>
      <c r="H325" s="23">
        <v>0</v>
      </c>
      <c r="I325" s="23">
        <v>14859000</v>
      </c>
      <c r="J325" s="23">
        <v>14086800</v>
      </c>
      <c r="K325" s="24">
        <f t="shared" si="15"/>
        <v>29645800</v>
      </c>
      <c r="L325" s="23">
        <v>1479114</v>
      </c>
      <c r="M325" s="24">
        <v>21700000</v>
      </c>
      <c r="N325" s="24">
        <f t="shared" si="16"/>
        <v>6466686</v>
      </c>
      <c r="O325" s="80">
        <f t="shared" si="17"/>
        <v>323000</v>
      </c>
      <c r="P325" s="18" t="s">
        <v>751</v>
      </c>
      <c r="Q325" s="18" t="str">
        <f>IFERROR(VLOOKUP(D325,'[1]TT CÁ NHÂN'!$E$3:$F$407,2,FALSE),0)</f>
        <v>phanbuu72@gmail.com</v>
      </c>
    </row>
    <row r="326" spans="1:17" s="18" customFormat="1" ht="21" customHeight="1" x14ac:dyDescent="0.25">
      <c r="A326" s="19" t="s">
        <v>44</v>
      </c>
      <c r="B326" s="20">
        <v>324</v>
      </c>
      <c r="C326" s="26" t="s">
        <v>377</v>
      </c>
      <c r="D326" s="27">
        <v>5611611316</v>
      </c>
      <c r="E326" s="23">
        <v>0</v>
      </c>
      <c r="F326" s="23">
        <v>700000</v>
      </c>
      <c r="G326" s="23">
        <v>0</v>
      </c>
      <c r="H326" s="23">
        <v>0</v>
      </c>
      <c r="I326" s="23">
        <v>0</v>
      </c>
      <c r="J326" s="23">
        <v>6247800</v>
      </c>
      <c r="K326" s="24">
        <f t="shared" si="15"/>
        <v>6947800</v>
      </c>
      <c r="L326" s="23">
        <v>656019</v>
      </c>
      <c r="M326" s="24">
        <v>15500000</v>
      </c>
      <c r="N326" s="24">
        <f t="shared" si="16"/>
        <v>-9208219</v>
      </c>
      <c r="O326" s="80">
        <f t="shared" si="17"/>
        <v>0</v>
      </c>
      <c r="P326" s="18" t="s">
        <v>752</v>
      </c>
      <c r="Q326" s="18" t="str">
        <f>IFERROR(VLOOKUP(D326,'[1]TT CÁ NHÂN'!$E$3:$F$407,2,FALSE),0)</f>
        <v>phanvansang94@gmail.com</v>
      </c>
    </row>
    <row r="327" spans="1:17" s="18" customFormat="1" ht="21" customHeight="1" x14ac:dyDescent="0.25">
      <c r="A327" s="19" t="s">
        <v>50</v>
      </c>
      <c r="B327" s="20">
        <v>325</v>
      </c>
      <c r="C327" s="26" t="s">
        <v>378</v>
      </c>
      <c r="D327" s="27">
        <v>5611150040</v>
      </c>
      <c r="E327" s="23">
        <v>0</v>
      </c>
      <c r="F327" s="23">
        <v>700000</v>
      </c>
      <c r="G327" s="23">
        <v>0</v>
      </c>
      <c r="H327" s="23">
        <v>939086</v>
      </c>
      <c r="I327" s="23">
        <v>7707960</v>
      </c>
      <c r="J327" s="23">
        <v>8564400</v>
      </c>
      <c r="K327" s="24">
        <f t="shared" si="15"/>
        <v>17911446</v>
      </c>
      <c r="L327" s="23">
        <v>899262</v>
      </c>
      <c r="M327" s="24">
        <v>27900000</v>
      </c>
      <c r="N327" s="24">
        <f t="shared" si="16"/>
        <v>-10887816</v>
      </c>
      <c r="O327" s="80">
        <f t="shared" si="17"/>
        <v>0</v>
      </c>
      <c r="P327" s="18" t="s">
        <v>753</v>
      </c>
      <c r="Q327" s="18" t="str">
        <f>IFERROR(VLOOKUP(D327,'[1]TT CÁ NHÂN'!$E$3:$F$407,2,FALSE),0)</f>
        <v>phohang050315@gmail.com</v>
      </c>
    </row>
    <row r="328" spans="1:17" s="18" customFormat="1" ht="21" customHeight="1" x14ac:dyDescent="0.25">
      <c r="A328" s="19" t="s">
        <v>50</v>
      </c>
      <c r="B328" s="20">
        <v>326</v>
      </c>
      <c r="C328" s="26" t="s">
        <v>379</v>
      </c>
      <c r="D328" s="27">
        <v>5611590196</v>
      </c>
      <c r="E328" s="23">
        <v>0</v>
      </c>
      <c r="F328" s="23">
        <v>700000</v>
      </c>
      <c r="G328" s="23">
        <v>0</v>
      </c>
      <c r="H328" s="23">
        <v>0</v>
      </c>
      <c r="I328" s="23">
        <v>0</v>
      </c>
      <c r="J328" s="23">
        <v>0</v>
      </c>
      <c r="K328" s="24">
        <f t="shared" si="15"/>
        <v>700000</v>
      </c>
      <c r="L328" s="23">
        <v>0</v>
      </c>
      <c r="M328" s="24">
        <v>21700000</v>
      </c>
      <c r="N328" s="24">
        <f t="shared" si="16"/>
        <v>-21000000</v>
      </c>
      <c r="O328" s="80">
        <f t="shared" si="17"/>
        <v>0</v>
      </c>
      <c r="P328" s="18" t="s">
        <v>754</v>
      </c>
      <c r="Q328" s="18" t="str">
        <f>IFERROR(VLOOKUP(D328,'[1]TT CÁ NHÂN'!$E$3:$F$407,2,FALSE),0)</f>
        <v>phungthithanhbinh1994@gmail.com</v>
      </c>
    </row>
    <row r="329" spans="1:17" s="18" customFormat="1" ht="21" customHeight="1" x14ac:dyDescent="0.25">
      <c r="A329" s="19" t="s">
        <v>31</v>
      </c>
      <c r="B329" s="20">
        <v>327</v>
      </c>
      <c r="C329" s="26" t="s">
        <v>380</v>
      </c>
      <c r="D329" s="27">
        <v>5611148434</v>
      </c>
      <c r="E329" s="23">
        <v>0</v>
      </c>
      <c r="F329" s="23">
        <v>700000</v>
      </c>
      <c r="G329" s="23">
        <v>0</v>
      </c>
      <c r="H329" s="23">
        <v>0</v>
      </c>
      <c r="I329" s="23">
        <v>5601960</v>
      </c>
      <c r="J329" s="23">
        <v>6224400</v>
      </c>
      <c r="K329" s="24">
        <f t="shared" si="15"/>
        <v>12526360</v>
      </c>
      <c r="L329" s="23">
        <v>653562</v>
      </c>
      <c r="M329" s="24">
        <v>27900000</v>
      </c>
      <c r="N329" s="24">
        <f t="shared" si="16"/>
        <v>-16027202</v>
      </c>
      <c r="O329" s="80">
        <f t="shared" si="17"/>
        <v>0</v>
      </c>
      <c r="P329" s="18" t="s">
        <v>755</v>
      </c>
      <c r="Q329" s="18" t="str">
        <f>IFERROR(VLOOKUP(D329,'[1]TT CÁ NHÂN'!$E$3:$F$407,2,FALSE),0)</f>
        <v>Taduccuong90@gmail.com</v>
      </c>
    </row>
    <row r="330" spans="1:17" s="18" customFormat="1" ht="21" customHeight="1" x14ac:dyDescent="0.25">
      <c r="A330" s="19" t="s">
        <v>44</v>
      </c>
      <c r="B330" s="20">
        <v>328</v>
      </c>
      <c r="C330" s="26" t="s">
        <v>381</v>
      </c>
      <c r="D330" s="27">
        <v>8837396231</v>
      </c>
      <c r="E330" s="23">
        <v>0</v>
      </c>
      <c r="F330" s="23">
        <v>700000</v>
      </c>
      <c r="G330" s="23">
        <v>0</v>
      </c>
      <c r="H330" s="23">
        <v>0</v>
      </c>
      <c r="I330" s="23">
        <v>5623020</v>
      </c>
      <c r="J330" s="23">
        <v>6247800</v>
      </c>
      <c r="K330" s="24">
        <f t="shared" si="15"/>
        <v>12570820</v>
      </c>
      <c r="L330" s="23">
        <v>656019</v>
      </c>
      <c r="M330" s="24">
        <v>21700000</v>
      </c>
      <c r="N330" s="24">
        <f t="shared" si="16"/>
        <v>-9785199</v>
      </c>
      <c r="O330" s="80">
        <f t="shared" si="17"/>
        <v>0</v>
      </c>
      <c r="P330" s="18" t="s">
        <v>756</v>
      </c>
      <c r="Q330" s="18" t="str">
        <f>IFERROR(VLOOKUP(D330,'[1]TT CÁ NHÂN'!$E$3:$F$407,2,FALSE),0)</f>
        <v>huongthita@gmail.com</v>
      </c>
    </row>
    <row r="331" spans="1:17" s="18" customFormat="1" ht="21" customHeight="1" x14ac:dyDescent="0.25">
      <c r="A331" s="19" t="s">
        <v>31</v>
      </c>
      <c r="B331" s="20">
        <v>329</v>
      </c>
      <c r="C331" s="26" t="s">
        <v>382</v>
      </c>
      <c r="D331" s="27">
        <v>5611148416</v>
      </c>
      <c r="E331" s="23">
        <v>0</v>
      </c>
      <c r="F331" s="23">
        <v>700000</v>
      </c>
      <c r="G331" s="23">
        <v>0</v>
      </c>
      <c r="H331" s="23">
        <v>0</v>
      </c>
      <c r="I331" s="23">
        <v>7012980</v>
      </c>
      <c r="J331" s="23">
        <v>8564400</v>
      </c>
      <c r="K331" s="24">
        <f t="shared" si="15"/>
        <v>16277380</v>
      </c>
      <c r="L331" s="23">
        <v>899262</v>
      </c>
      <c r="M331" s="24">
        <v>27900000</v>
      </c>
      <c r="N331" s="24">
        <f t="shared" si="16"/>
        <v>-12521882</v>
      </c>
      <c r="O331" s="80">
        <f t="shared" si="17"/>
        <v>0</v>
      </c>
      <c r="P331" s="18" t="s">
        <v>757</v>
      </c>
      <c r="Q331" s="18" t="str">
        <f>IFERROR(VLOOKUP(D331,'[1]TT CÁ NHÂN'!$E$3:$F$407,2,FALSE),0)</f>
        <v>thuhienkdqt84@gmail.com</v>
      </c>
    </row>
    <row r="332" spans="1:17" s="18" customFormat="1" ht="21" customHeight="1" x14ac:dyDescent="0.25">
      <c r="A332" s="19" t="s">
        <v>31</v>
      </c>
      <c r="B332" s="20">
        <v>330</v>
      </c>
      <c r="C332" s="26" t="s">
        <v>383</v>
      </c>
      <c r="D332" s="27">
        <v>5611148470</v>
      </c>
      <c r="E332" s="23">
        <v>0</v>
      </c>
      <c r="F332" s="23">
        <v>700000</v>
      </c>
      <c r="G332" s="23">
        <v>0</v>
      </c>
      <c r="H332" s="23">
        <v>0</v>
      </c>
      <c r="I332" s="23">
        <v>7707960</v>
      </c>
      <c r="J332" s="23">
        <v>8564400</v>
      </c>
      <c r="K332" s="24">
        <f t="shared" si="15"/>
        <v>16972360</v>
      </c>
      <c r="L332" s="23">
        <v>899262</v>
      </c>
      <c r="M332" s="24">
        <v>27900000</v>
      </c>
      <c r="N332" s="24">
        <f t="shared" si="16"/>
        <v>-11826902</v>
      </c>
      <c r="O332" s="80">
        <f t="shared" si="17"/>
        <v>0</v>
      </c>
      <c r="P332" s="18" t="s">
        <v>758</v>
      </c>
      <c r="Q332" s="18" t="str">
        <f>IFERROR(VLOOKUP(D332,'[1]TT CÁ NHÂN'!$E$3:$F$407,2,FALSE),0)</f>
        <v>thaivietloikdqt@gmail.com</v>
      </c>
    </row>
    <row r="333" spans="1:17" s="18" customFormat="1" ht="21" customHeight="1" x14ac:dyDescent="0.25">
      <c r="A333" s="19" t="s">
        <v>80</v>
      </c>
      <c r="B333" s="20">
        <v>331</v>
      </c>
      <c r="C333" s="25" t="s">
        <v>384</v>
      </c>
      <c r="D333" s="22">
        <v>5620212962</v>
      </c>
      <c r="E333" s="23">
        <v>0</v>
      </c>
      <c r="F333" s="23">
        <v>700000</v>
      </c>
      <c r="G333" s="23">
        <v>0</v>
      </c>
      <c r="H333" s="23">
        <v>0</v>
      </c>
      <c r="I333" s="23">
        <v>9792900</v>
      </c>
      <c r="J333" s="23">
        <v>10881000</v>
      </c>
      <c r="K333" s="24">
        <f t="shared" si="15"/>
        <v>21373900</v>
      </c>
      <c r="L333" s="23">
        <v>1142505</v>
      </c>
      <c r="M333" s="24">
        <v>21700000</v>
      </c>
      <c r="N333" s="24">
        <f t="shared" si="16"/>
        <v>-1468605</v>
      </c>
      <c r="O333" s="80">
        <f t="shared" si="17"/>
        <v>0</v>
      </c>
      <c r="P333" s="18" t="s">
        <v>759</v>
      </c>
      <c r="Q333" s="18" t="str">
        <f>IFERROR(VLOOKUP(D333,'[1]TT CÁ NHÂN'!$E$3:$F$407,2,FALSE),0)</f>
        <v>bay.tt@cdcquangnam.vn</v>
      </c>
    </row>
    <row r="334" spans="1:17" s="18" customFormat="1" ht="21" customHeight="1" x14ac:dyDescent="0.25">
      <c r="A334" s="19" t="s">
        <v>64</v>
      </c>
      <c r="B334" s="20">
        <v>332</v>
      </c>
      <c r="C334" s="41" t="s">
        <v>385</v>
      </c>
      <c r="D334" s="22">
        <v>8853375729</v>
      </c>
      <c r="E334" s="23">
        <v>0</v>
      </c>
      <c r="F334" s="23">
        <v>700000</v>
      </c>
      <c r="G334" s="23">
        <v>0</v>
      </c>
      <c r="H334" s="23">
        <v>0</v>
      </c>
      <c r="I334" s="23">
        <v>8992620</v>
      </c>
      <c r="J334" s="23">
        <v>9991800</v>
      </c>
      <c r="K334" s="24">
        <f t="shared" si="15"/>
        <v>19684420</v>
      </c>
      <c r="L334" s="23">
        <v>1049139</v>
      </c>
      <c r="M334" s="24">
        <v>21700000</v>
      </c>
      <c r="N334" s="24">
        <f t="shared" si="16"/>
        <v>-3064719</v>
      </c>
      <c r="O334" s="80">
        <f t="shared" si="17"/>
        <v>0</v>
      </c>
      <c r="P334" s="18" t="s">
        <v>760</v>
      </c>
      <c r="Q334" s="18" t="str">
        <f>IFERROR(VLOOKUP(D334,'[1]TT CÁ NHÂN'!$E$3:$F$407,2,FALSE),0)</f>
        <v>tothisach.220572@gmail.com</v>
      </c>
    </row>
    <row r="335" spans="1:17" s="18" customFormat="1" ht="21" customHeight="1" x14ac:dyDescent="0.25">
      <c r="A335" s="19" t="s">
        <v>31</v>
      </c>
      <c r="B335" s="20">
        <v>333</v>
      </c>
      <c r="C335" s="26" t="s">
        <v>386</v>
      </c>
      <c r="D335" s="27">
        <v>5611150934</v>
      </c>
      <c r="E335" s="23">
        <v>0</v>
      </c>
      <c r="F335" s="23">
        <v>700000</v>
      </c>
      <c r="G335" s="23">
        <v>0</v>
      </c>
      <c r="H335" s="23">
        <v>0</v>
      </c>
      <c r="I335" s="23">
        <v>5601960</v>
      </c>
      <c r="J335" s="23">
        <v>6224400</v>
      </c>
      <c r="K335" s="24">
        <f t="shared" si="15"/>
        <v>12526360</v>
      </c>
      <c r="L335" s="23">
        <v>653562</v>
      </c>
      <c r="M335" s="24">
        <v>21700000</v>
      </c>
      <c r="N335" s="24">
        <f t="shared" si="16"/>
        <v>-9827202</v>
      </c>
      <c r="O335" s="80">
        <f t="shared" si="17"/>
        <v>0</v>
      </c>
      <c r="P335" s="18" t="s">
        <v>761</v>
      </c>
      <c r="Q335" s="18" t="str">
        <f>IFERROR(VLOOKUP(D335,'[1]TT CÁ NHÂN'!$E$3:$F$407,2,FALSE),0)</f>
        <v>Toviethung1990@gmail.com</v>
      </c>
    </row>
    <row r="336" spans="1:17" s="18" customFormat="1" ht="21" customHeight="1" x14ac:dyDescent="0.25">
      <c r="A336" s="19" t="s">
        <v>25</v>
      </c>
      <c r="B336" s="20">
        <v>334</v>
      </c>
      <c r="C336" s="26" t="s">
        <v>387</v>
      </c>
      <c r="D336" s="27">
        <v>5611309657</v>
      </c>
      <c r="E336" s="23">
        <v>0</v>
      </c>
      <c r="F336" s="23">
        <v>700000</v>
      </c>
      <c r="G336" s="23">
        <v>0</v>
      </c>
      <c r="H336" s="23">
        <v>0</v>
      </c>
      <c r="I336" s="23">
        <v>5623020</v>
      </c>
      <c r="J336" s="23">
        <v>6247800</v>
      </c>
      <c r="K336" s="24">
        <f t="shared" si="15"/>
        <v>12570820</v>
      </c>
      <c r="L336" s="23">
        <v>656019</v>
      </c>
      <c r="M336" s="24">
        <v>21700000</v>
      </c>
      <c r="N336" s="24">
        <f t="shared" si="16"/>
        <v>-9785199</v>
      </c>
      <c r="O336" s="80">
        <f t="shared" si="17"/>
        <v>0</v>
      </c>
      <c r="P336" s="18" t="s">
        <v>762</v>
      </c>
      <c r="Q336" s="18" t="str">
        <f>IFERROR(VLOOKUP(D336,'[1]TT CÁ NHÂN'!$E$3:$F$407,2,FALSE),0)</f>
        <v>Trandamthinh@gmail.com</v>
      </c>
    </row>
    <row r="337" spans="1:17" s="18" customFormat="1" ht="21" customHeight="1" x14ac:dyDescent="0.25">
      <c r="A337" s="19" t="s">
        <v>61</v>
      </c>
      <c r="B337" s="20">
        <v>335</v>
      </c>
      <c r="C337" s="21" t="s">
        <v>388</v>
      </c>
      <c r="D337" s="22">
        <v>5623468913</v>
      </c>
      <c r="E337" s="23">
        <v>0</v>
      </c>
      <c r="F337" s="23">
        <v>700000</v>
      </c>
      <c r="G337" s="23">
        <v>0</v>
      </c>
      <c r="H337" s="23">
        <v>0</v>
      </c>
      <c r="I337" s="23">
        <v>0</v>
      </c>
      <c r="J337" s="23">
        <v>9009000</v>
      </c>
      <c r="K337" s="24">
        <f t="shared" si="15"/>
        <v>9709000</v>
      </c>
      <c r="L337" s="23">
        <v>945945</v>
      </c>
      <c r="M337" s="24">
        <v>15500000</v>
      </c>
      <c r="N337" s="24">
        <f t="shared" si="16"/>
        <v>-6736945</v>
      </c>
      <c r="O337" s="80">
        <f t="shared" si="17"/>
        <v>0</v>
      </c>
      <c r="P337" s="18" t="s">
        <v>763</v>
      </c>
      <c r="Q337" s="18" t="str">
        <f>IFERROR(VLOOKUP(D337,'[1]TT CÁ NHÂN'!$E$3:$F$407,2,FALSE),0)</f>
        <v>tamtrandinh959@gmail.com</v>
      </c>
    </row>
    <row r="338" spans="1:17" s="18" customFormat="1" ht="21" customHeight="1" x14ac:dyDescent="0.25">
      <c r="A338" s="19" t="s">
        <v>61</v>
      </c>
      <c r="B338" s="20">
        <v>336</v>
      </c>
      <c r="C338" s="31" t="s">
        <v>389</v>
      </c>
      <c r="D338" s="22">
        <v>5623448030</v>
      </c>
      <c r="E338" s="23">
        <v>0</v>
      </c>
      <c r="F338" s="23">
        <v>700000</v>
      </c>
      <c r="G338" s="23">
        <v>0</v>
      </c>
      <c r="H338" s="23">
        <v>0</v>
      </c>
      <c r="I338" s="23">
        <v>0</v>
      </c>
      <c r="J338" s="23">
        <v>6458400</v>
      </c>
      <c r="K338" s="24">
        <f t="shared" si="15"/>
        <v>7158400</v>
      </c>
      <c r="L338" s="23">
        <v>678132</v>
      </c>
      <c r="M338" s="24">
        <v>15500000</v>
      </c>
      <c r="N338" s="24">
        <f t="shared" si="16"/>
        <v>-9019732</v>
      </c>
      <c r="O338" s="80">
        <f t="shared" si="17"/>
        <v>0</v>
      </c>
      <c r="P338" s="18" t="s">
        <v>826</v>
      </c>
      <c r="Q338" s="18" t="str">
        <f>IFERROR(VLOOKUP(D338,'[1]TT CÁ NHÂN'!$E$3:$F$407,2,FALSE),0)</f>
        <v>thangtrantk1@gmail.com</v>
      </c>
    </row>
    <row r="339" spans="1:17" s="18" customFormat="1" ht="21" customHeight="1" x14ac:dyDescent="0.25">
      <c r="A339" s="19" t="s">
        <v>50</v>
      </c>
      <c r="B339" s="20">
        <v>337</v>
      </c>
      <c r="C339" s="41" t="s">
        <v>390</v>
      </c>
      <c r="D339" s="22">
        <v>5623454949</v>
      </c>
      <c r="E339" s="23">
        <v>111000</v>
      </c>
      <c r="F339" s="23">
        <v>700000</v>
      </c>
      <c r="G339" s="23">
        <v>0</v>
      </c>
      <c r="H339" s="23">
        <v>0</v>
      </c>
      <c r="I339" s="23">
        <v>9455940</v>
      </c>
      <c r="J339" s="23">
        <v>10506600</v>
      </c>
      <c r="K339" s="24">
        <f t="shared" si="15"/>
        <v>20773540</v>
      </c>
      <c r="L339" s="23">
        <v>1103193</v>
      </c>
      <c r="M339" s="24">
        <v>21700000</v>
      </c>
      <c r="N339" s="24">
        <f t="shared" si="16"/>
        <v>-2029653</v>
      </c>
      <c r="O339" s="80">
        <f t="shared" si="17"/>
        <v>0</v>
      </c>
      <c r="P339" s="18" t="s">
        <v>764</v>
      </c>
      <c r="Q339" s="18" t="str">
        <f>IFERROR(VLOOKUP(D339,'[1]TT CÁ NHÂN'!$E$3:$F$407,2,FALSE),0)</f>
        <v>tdvu76@gmail.com</v>
      </c>
    </row>
    <row r="340" spans="1:17" s="18" customFormat="1" ht="21" customHeight="1" x14ac:dyDescent="0.25">
      <c r="A340" s="19" t="s">
        <v>50</v>
      </c>
      <c r="B340" s="20">
        <v>338</v>
      </c>
      <c r="C340" s="26" t="s">
        <v>391</v>
      </c>
      <c r="D340" s="27">
        <v>5611149923</v>
      </c>
      <c r="E340" s="23">
        <v>0</v>
      </c>
      <c r="F340" s="23">
        <v>700000</v>
      </c>
      <c r="G340" s="23">
        <v>0</v>
      </c>
      <c r="H340" s="23">
        <v>1000000</v>
      </c>
      <c r="I340" s="23">
        <v>10487880</v>
      </c>
      <c r="J340" s="23">
        <v>11653200</v>
      </c>
      <c r="K340" s="24">
        <f t="shared" si="15"/>
        <v>23841080</v>
      </c>
      <c r="L340" s="23">
        <v>1223586</v>
      </c>
      <c r="M340" s="24">
        <v>34100000</v>
      </c>
      <c r="N340" s="24">
        <f t="shared" si="16"/>
        <v>-11482506</v>
      </c>
      <c r="O340" s="80">
        <f t="shared" si="17"/>
        <v>0</v>
      </c>
      <c r="P340" s="18" t="s">
        <v>765</v>
      </c>
      <c r="Q340" s="18" t="str">
        <f>IFERROR(VLOOKUP(D340,'[1]TT CÁ NHÂN'!$E$3:$F$407,2,FALSE),0)</f>
        <v>hathai284@gmail.com</v>
      </c>
    </row>
    <row r="341" spans="1:17" s="18" customFormat="1" ht="21" customHeight="1" x14ac:dyDescent="0.25">
      <c r="A341" s="19" t="s">
        <v>64</v>
      </c>
      <c r="B341" s="20">
        <v>339</v>
      </c>
      <c r="C341" s="30" t="s">
        <v>392</v>
      </c>
      <c r="D341" s="22">
        <v>8843380024</v>
      </c>
      <c r="E341" s="23">
        <v>0</v>
      </c>
      <c r="F341" s="23">
        <v>700000</v>
      </c>
      <c r="G341" s="23">
        <v>0</v>
      </c>
      <c r="H341" s="23">
        <v>0</v>
      </c>
      <c r="I341" s="23">
        <v>2499120</v>
      </c>
      <c r="J341" s="23">
        <v>6247800</v>
      </c>
      <c r="K341" s="24">
        <f t="shared" si="15"/>
        <v>9446920</v>
      </c>
      <c r="L341" s="23">
        <v>656019</v>
      </c>
      <c r="M341" s="24">
        <v>15500000</v>
      </c>
      <c r="N341" s="24">
        <f t="shared" si="16"/>
        <v>-6709099</v>
      </c>
      <c r="O341" s="80">
        <f t="shared" si="17"/>
        <v>0</v>
      </c>
      <c r="P341" s="18" t="s">
        <v>766</v>
      </c>
      <c r="Q341" s="18" t="str">
        <f>IFERROR(VLOOKUP(D341,'[1]TT CÁ NHÂN'!$E$3:$F$407,2,FALSE),0)</f>
        <v>thlongpharmacist@gmail.com</v>
      </c>
    </row>
    <row r="342" spans="1:17" s="18" customFormat="1" ht="21" customHeight="1" x14ac:dyDescent="0.25">
      <c r="A342" s="19" t="s">
        <v>102</v>
      </c>
      <c r="B342" s="20">
        <v>340</v>
      </c>
      <c r="C342" s="41" t="s">
        <v>393</v>
      </c>
      <c r="D342" s="22">
        <v>8803005306</v>
      </c>
      <c r="E342" s="23">
        <v>0</v>
      </c>
      <c r="F342" s="23">
        <v>700000</v>
      </c>
      <c r="G342" s="23">
        <v>0</v>
      </c>
      <c r="H342" s="23">
        <v>0</v>
      </c>
      <c r="I342" s="23">
        <v>7707960</v>
      </c>
      <c r="J342" s="23">
        <v>8564400</v>
      </c>
      <c r="K342" s="24">
        <f t="shared" si="15"/>
        <v>16972360</v>
      </c>
      <c r="L342" s="23">
        <v>899262</v>
      </c>
      <c r="M342" s="24">
        <v>27900000</v>
      </c>
      <c r="N342" s="24">
        <f t="shared" si="16"/>
        <v>-11826902</v>
      </c>
      <c r="O342" s="80">
        <f t="shared" si="17"/>
        <v>0</v>
      </c>
      <c r="P342" s="18" t="s">
        <v>767</v>
      </c>
      <c r="Q342" s="18" t="str">
        <f>IFERROR(VLOOKUP(D342,'[1]TT CÁ NHÂN'!$E$3:$F$407,2,FALSE),0)</f>
        <v>uyentran412@gmail.com</v>
      </c>
    </row>
    <row r="343" spans="1:17" s="18" customFormat="1" ht="21" customHeight="1" x14ac:dyDescent="0.25">
      <c r="A343" s="19" t="s">
        <v>61</v>
      </c>
      <c r="B343" s="20">
        <v>341</v>
      </c>
      <c r="C343" s="26" t="s">
        <v>394</v>
      </c>
      <c r="D343" s="27">
        <v>5611148151</v>
      </c>
      <c r="E343" s="23">
        <v>0</v>
      </c>
      <c r="F343" s="23">
        <v>700000</v>
      </c>
      <c r="G343" s="23">
        <v>0</v>
      </c>
      <c r="H343" s="23">
        <v>0</v>
      </c>
      <c r="I343" s="23">
        <v>11962080</v>
      </c>
      <c r="J343" s="23">
        <v>13291200</v>
      </c>
      <c r="K343" s="24">
        <f t="shared" si="15"/>
        <v>25953280</v>
      </c>
      <c r="L343" s="23">
        <v>1395576</v>
      </c>
      <c r="M343" s="24">
        <v>21700000</v>
      </c>
      <c r="N343" s="24">
        <f t="shared" si="16"/>
        <v>2857704</v>
      </c>
      <c r="O343" s="80">
        <f t="shared" si="17"/>
        <v>143000</v>
      </c>
      <c r="P343" s="18" t="s">
        <v>768</v>
      </c>
      <c r="Q343" s="18" t="str">
        <f>IFERROR(VLOOKUP(D343,'[1]TT CÁ NHÂN'!$E$3:$F$407,2,FALSE),0)</f>
        <v>lient@danang.gov.vn</v>
      </c>
    </row>
    <row r="344" spans="1:17" s="18" customFormat="1" ht="21" customHeight="1" x14ac:dyDescent="0.25">
      <c r="A344" s="19" t="s">
        <v>61</v>
      </c>
      <c r="B344" s="20">
        <v>342</v>
      </c>
      <c r="C344" s="30" t="s">
        <v>395</v>
      </c>
      <c r="D344" s="22">
        <v>8843373265</v>
      </c>
      <c r="E344" s="23">
        <v>0</v>
      </c>
      <c r="F344" s="23">
        <v>700000</v>
      </c>
      <c r="G344" s="23">
        <v>0</v>
      </c>
      <c r="H344" s="23">
        <v>0</v>
      </c>
      <c r="I344" s="23">
        <v>0</v>
      </c>
      <c r="J344" s="23">
        <v>7745400</v>
      </c>
      <c r="K344" s="24">
        <f t="shared" si="15"/>
        <v>8445400</v>
      </c>
      <c r="L344" s="23">
        <v>813267</v>
      </c>
      <c r="M344" s="24">
        <v>27900000</v>
      </c>
      <c r="N344" s="24">
        <f t="shared" si="16"/>
        <v>-20267867</v>
      </c>
      <c r="O344" s="80">
        <f t="shared" si="17"/>
        <v>0</v>
      </c>
      <c r="P344" s="18" t="s">
        <v>769</v>
      </c>
      <c r="Q344" s="18" t="str">
        <f>IFERROR(VLOOKUP(D344,'[1]TT CÁ NHÂN'!$E$3:$F$407,2,FALSE),0)</f>
        <v>tranngoclinh121979@gmail.com</v>
      </c>
    </row>
    <row r="345" spans="1:17" s="18" customFormat="1" ht="21" customHeight="1" x14ac:dyDescent="0.25">
      <c r="A345" s="19" t="s">
        <v>61</v>
      </c>
      <c r="B345" s="20">
        <v>343</v>
      </c>
      <c r="C345" s="30" t="s">
        <v>396</v>
      </c>
      <c r="D345" s="29">
        <v>8853373276</v>
      </c>
      <c r="E345" s="23">
        <v>0</v>
      </c>
      <c r="F345" s="23">
        <v>700000</v>
      </c>
      <c r="G345" s="23">
        <v>0</v>
      </c>
      <c r="H345" s="23">
        <v>0</v>
      </c>
      <c r="I345" s="23">
        <v>0</v>
      </c>
      <c r="J345" s="23">
        <v>4352400</v>
      </c>
      <c r="K345" s="24">
        <f t="shared" si="15"/>
        <v>5052400</v>
      </c>
      <c r="L345" s="23">
        <v>457002</v>
      </c>
      <c r="M345" s="24">
        <v>15500000</v>
      </c>
      <c r="N345" s="24">
        <f t="shared" si="16"/>
        <v>-10904602</v>
      </c>
      <c r="O345" s="80">
        <f t="shared" si="17"/>
        <v>0</v>
      </c>
      <c r="P345" s="18">
        <v>0</v>
      </c>
      <c r="Q345" s="18">
        <f>IFERROR(VLOOKUP(D345,'[1]TT CÁ NHÂN'!$E$3:$F$407,2,FALSE),0)</f>
        <v>0</v>
      </c>
    </row>
    <row r="346" spans="1:17" s="18" customFormat="1" ht="21" customHeight="1" x14ac:dyDescent="0.25">
      <c r="A346" s="19" t="s">
        <v>61</v>
      </c>
      <c r="B346" s="20">
        <v>344</v>
      </c>
      <c r="C346" s="26" t="s">
        <v>397</v>
      </c>
      <c r="D346" s="27">
        <v>5610225176</v>
      </c>
      <c r="E346" s="23">
        <v>0</v>
      </c>
      <c r="F346" s="23">
        <v>700000</v>
      </c>
      <c r="G346" s="23">
        <v>0</v>
      </c>
      <c r="H346" s="23">
        <v>0</v>
      </c>
      <c r="I346" s="23">
        <v>8402940</v>
      </c>
      <c r="J346" s="23">
        <v>9336600</v>
      </c>
      <c r="K346" s="24">
        <f t="shared" si="15"/>
        <v>18439540</v>
      </c>
      <c r="L346" s="23">
        <v>980343</v>
      </c>
      <c r="M346" s="24">
        <v>21700000</v>
      </c>
      <c r="N346" s="24">
        <f t="shared" si="16"/>
        <v>-4240803</v>
      </c>
      <c r="O346" s="80">
        <f t="shared" si="17"/>
        <v>0</v>
      </c>
      <c r="P346" s="18" t="s">
        <v>770</v>
      </c>
      <c r="Q346" s="18" t="str">
        <f>IFERROR(VLOOKUP(D346,'[1]TT CÁ NHÂN'!$E$3:$F$407,2,FALSE),0)</f>
        <v>thu83ytdp@gmail.com</v>
      </c>
    </row>
    <row r="347" spans="1:17" s="18" customFormat="1" ht="21" customHeight="1" x14ac:dyDescent="0.25">
      <c r="A347" s="19" t="s">
        <v>22</v>
      </c>
      <c r="B347" s="20">
        <v>345</v>
      </c>
      <c r="C347" s="26" t="s">
        <v>398</v>
      </c>
      <c r="D347" s="27">
        <v>5611148850</v>
      </c>
      <c r="E347" s="23">
        <v>0</v>
      </c>
      <c r="F347" s="23">
        <v>700000</v>
      </c>
      <c r="G347" s="23">
        <v>0</v>
      </c>
      <c r="H347" s="23">
        <v>0</v>
      </c>
      <c r="I347" s="23">
        <v>8634600</v>
      </c>
      <c r="J347" s="23">
        <v>10108800</v>
      </c>
      <c r="K347" s="24">
        <f t="shared" si="15"/>
        <v>19443400</v>
      </c>
      <c r="L347" s="23">
        <v>1061424</v>
      </c>
      <c r="M347" s="24">
        <v>21700000</v>
      </c>
      <c r="N347" s="24">
        <f t="shared" si="16"/>
        <v>-3318024</v>
      </c>
      <c r="O347" s="80">
        <f t="shared" si="17"/>
        <v>0</v>
      </c>
      <c r="P347" s="18" t="s">
        <v>771</v>
      </c>
      <c r="Q347" s="18" t="str">
        <f>IFERROR(VLOOKUP(D347,'[1]TT CÁ NHÂN'!$E$3:$F$407,2,FALSE),0)</f>
        <v>toanquoctran73@gmail,com</v>
      </c>
    </row>
    <row r="348" spans="1:17" s="18" customFormat="1" ht="21" customHeight="1" x14ac:dyDescent="0.25">
      <c r="A348" s="19" t="s">
        <v>102</v>
      </c>
      <c r="B348" s="20">
        <v>346</v>
      </c>
      <c r="C348" s="26" t="s">
        <v>399</v>
      </c>
      <c r="D348" s="27">
        <v>5610577202</v>
      </c>
      <c r="E348" s="23">
        <v>0</v>
      </c>
      <c r="F348" s="23">
        <v>700000</v>
      </c>
      <c r="G348" s="23">
        <v>0</v>
      </c>
      <c r="H348" s="23">
        <v>0</v>
      </c>
      <c r="I348" s="23">
        <v>8402940</v>
      </c>
      <c r="J348" s="23">
        <v>9336600</v>
      </c>
      <c r="K348" s="24">
        <f t="shared" si="15"/>
        <v>18439540</v>
      </c>
      <c r="L348" s="23">
        <v>980343</v>
      </c>
      <c r="M348" s="24">
        <v>21700000</v>
      </c>
      <c r="N348" s="24">
        <f t="shared" si="16"/>
        <v>-4240803</v>
      </c>
      <c r="O348" s="80">
        <f t="shared" si="17"/>
        <v>0</v>
      </c>
      <c r="P348" s="18" t="s">
        <v>772</v>
      </c>
      <c r="Q348" s="18" t="str">
        <f>IFERROR(VLOOKUP(D348,'[1]TT CÁ NHÂN'!$E$3:$F$407,2,FALSE),0)</f>
        <v>vietquoc8283@gmail.com</v>
      </c>
    </row>
    <row r="349" spans="1:17" s="18" customFormat="1" ht="21" customHeight="1" x14ac:dyDescent="0.25">
      <c r="A349" s="19" t="s">
        <v>61</v>
      </c>
      <c r="B349" s="20">
        <v>347</v>
      </c>
      <c r="C349" s="41" t="s">
        <v>400</v>
      </c>
      <c r="D349" s="29">
        <v>8813373270</v>
      </c>
      <c r="E349" s="23">
        <v>0</v>
      </c>
      <c r="F349" s="23">
        <v>700000</v>
      </c>
      <c r="G349" s="23">
        <v>0</v>
      </c>
      <c r="H349" s="23">
        <v>0</v>
      </c>
      <c r="I349" s="23">
        <v>0</v>
      </c>
      <c r="J349" s="23">
        <v>8143200</v>
      </c>
      <c r="K349" s="24">
        <f t="shared" si="15"/>
        <v>8843200</v>
      </c>
      <c r="L349" s="23">
        <v>855036</v>
      </c>
      <c r="M349" s="24">
        <v>15500000</v>
      </c>
      <c r="N349" s="24">
        <f t="shared" si="16"/>
        <v>-7511836</v>
      </c>
      <c r="O349" s="80">
        <f t="shared" si="17"/>
        <v>0</v>
      </c>
      <c r="P349" s="18" t="s">
        <v>825</v>
      </c>
      <c r="Q349" s="18" t="str">
        <f>IFERROR(VLOOKUP(D349,'[1]TT CÁ NHÂN'!$E$3:$F$407,2,FALSE),0)</f>
        <v>trantanbuu7799@ gmail.com</v>
      </c>
    </row>
    <row r="350" spans="1:17" s="18" customFormat="1" ht="21" customHeight="1" x14ac:dyDescent="0.25">
      <c r="A350" s="19" t="s">
        <v>64</v>
      </c>
      <c r="B350" s="20">
        <v>348</v>
      </c>
      <c r="C350" s="41" t="s">
        <v>401</v>
      </c>
      <c r="D350" s="22">
        <v>5620600123</v>
      </c>
      <c r="E350" s="23">
        <v>0</v>
      </c>
      <c r="F350" s="23">
        <v>700000</v>
      </c>
      <c r="G350" s="23">
        <v>0</v>
      </c>
      <c r="H350" s="23">
        <v>0</v>
      </c>
      <c r="I350" s="23">
        <v>8634600</v>
      </c>
      <c r="J350" s="23">
        <v>10108800</v>
      </c>
      <c r="K350" s="24">
        <f t="shared" si="15"/>
        <v>19443400</v>
      </c>
      <c r="L350" s="23">
        <v>1061424</v>
      </c>
      <c r="M350" s="24">
        <v>27900000</v>
      </c>
      <c r="N350" s="24">
        <f t="shared" si="16"/>
        <v>-9518024</v>
      </c>
      <c r="O350" s="80">
        <f t="shared" si="17"/>
        <v>0</v>
      </c>
      <c r="P350" s="18" t="s">
        <v>773</v>
      </c>
      <c r="Q350" s="18" t="str">
        <f>IFERROR(VLOOKUP(D350,'[1]TT CÁ NHÂN'!$E$3:$F$407,2,FALSE),0)</f>
        <v>nguyettran1277@gmail.com</v>
      </c>
    </row>
    <row r="351" spans="1:17" s="18" customFormat="1" ht="21" customHeight="1" x14ac:dyDescent="0.25">
      <c r="A351" s="19" t="s">
        <v>55</v>
      </c>
      <c r="B351" s="20">
        <v>349</v>
      </c>
      <c r="C351" s="26" t="s">
        <v>402</v>
      </c>
      <c r="D351" s="27">
        <v>5611151335</v>
      </c>
      <c r="E351" s="23">
        <v>0</v>
      </c>
      <c r="F351" s="23">
        <v>700000</v>
      </c>
      <c r="G351" s="23">
        <v>0</v>
      </c>
      <c r="H351" s="23">
        <v>0</v>
      </c>
      <c r="I351" s="23">
        <v>13513500</v>
      </c>
      <c r="J351" s="23">
        <v>12285000</v>
      </c>
      <c r="K351" s="24">
        <f t="shared" si="15"/>
        <v>26498500</v>
      </c>
      <c r="L351" s="23">
        <v>1289925</v>
      </c>
      <c r="M351" s="24">
        <v>15500000</v>
      </c>
      <c r="N351" s="24">
        <f t="shared" si="16"/>
        <v>9708575</v>
      </c>
      <c r="O351" s="80">
        <f t="shared" si="17"/>
        <v>485000</v>
      </c>
      <c r="P351" s="18" t="s">
        <v>774</v>
      </c>
      <c r="Q351" s="18" t="str">
        <f>IFERROR(VLOOKUP(D351,'[1]TT CÁ NHÂN'!$E$3:$F$407,2,FALSE),0)</f>
        <v>dathaotran0403@gmail.com</v>
      </c>
    </row>
    <row r="352" spans="1:17" s="18" customFormat="1" ht="21" customHeight="1" x14ac:dyDescent="0.25">
      <c r="A352" s="19" t="s">
        <v>40</v>
      </c>
      <c r="B352" s="20">
        <v>350</v>
      </c>
      <c r="C352" s="26" t="s">
        <v>403</v>
      </c>
      <c r="D352" s="27">
        <v>5610566051</v>
      </c>
      <c r="E352" s="23">
        <v>0</v>
      </c>
      <c r="F352" s="23">
        <v>700000</v>
      </c>
      <c r="G352" s="23">
        <v>0</v>
      </c>
      <c r="H352" s="23">
        <v>0</v>
      </c>
      <c r="I352" s="23">
        <v>7707960</v>
      </c>
      <c r="J352" s="23">
        <v>8564400</v>
      </c>
      <c r="K352" s="24">
        <f t="shared" si="15"/>
        <v>16972360</v>
      </c>
      <c r="L352" s="23">
        <v>899262</v>
      </c>
      <c r="M352" s="24">
        <v>21700000</v>
      </c>
      <c r="N352" s="24">
        <f t="shared" si="16"/>
        <v>-5626902</v>
      </c>
      <c r="O352" s="80">
        <f t="shared" si="17"/>
        <v>0</v>
      </c>
      <c r="P352" s="18" t="s">
        <v>775</v>
      </c>
      <c r="Q352" s="18" t="str">
        <f>IFERROR(VLOOKUP(D352,'[1]TT CÁ NHÂN'!$E$3:$F$407,2,FALSE),0)</f>
        <v>chaukhanh1512@gmail.com</v>
      </c>
    </row>
    <row r="353" spans="1:17" s="18" customFormat="1" ht="21" customHeight="1" x14ac:dyDescent="0.25">
      <c r="A353" s="19" t="s">
        <v>80</v>
      </c>
      <c r="B353" s="20">
        <v>351</v>
      </c>
      <c r="C353" s="26" t="s">
        <v>404</v>
      </c>
      <c r="D353" s="27">
        <v>5611150208</v>
      </c>
      <c r="E353" s="23">
        <v>0</v>
      </c>
      <c r="F353" s="23">
        <v>700000</v>
      </c>
      <c r="G353" s="23">
        <v>0</v>
      </c>
      <c r="H353" s="23">
        <v>0</v>
      </c>
      <c r="I353" s="23">
        <v>8634600</v>
      </c>
      <c r="J353" s="23">
        <v>10108800</v>
      </c>
      <c r="K353" s="24">
        <f t="shared" si="15"/>
        <v>19443400</v>
      </c>
      <c r="L353" s="23">
        <v>1061424</v>
      </c>
      <c r="M353" s="24">
        <v>34100000</v>
      </c>
      <c r="N353" s="24">
        <f t="shared" si="16"/>
        <v>-15718024</v>
      </c>
      <c r="O353" s="80">
        <f t="shared" si="17"/>
        <v>0</v>
      </c>
      <c r="P353" s="18" t="s">
        <v>776</v>
      </c>
      <c r="Q353" s="18" t="str">
        <f>IFERROR(VLOOKUP(D353,'[1]TT CÁ NHÂN'!$E$3:$F$407,2,FALSE),0)</f>
        <v>tranthiha171179@gmail.com</v>
      </c>
    </row>
    <row r="354" spans="1:17" s="18" customFormat="1" ht="21" customHeight="1" x14ac:dyDescent="0.25">
      <c r="A354" s="19" t="s">
        <v>27</v>
      </c>
      <c r="B354" s="20">
        <v>352</v>
      </c>
      <c r="C354" s="31" t="s">
        <v>405</v>
      </c>
      <c r="D354" s="22">
        <v>5623454879</v>
      </c>
      <c r="E354" s="23">
        <v>0</v>
      </c>
      <c r="F354" s="23">
        <v>700000</v>
      </c>
      <c r="G354" s="23">
        <v>0</v>
      </c>
      <c r="H354" s="23">
        <v>0</v>
      </c>
      <c r="I354" s="23">
        <v>6381180</v>
      </c>
      <c r="J354" s="23">
        <v>7090200</v>
      </c>
      <c r="K354" s="24">
        <f t="shared" si="15"/>
        <v>14171380</v>
      </c>
      <c r="L354" s="23">
        <v>744471</v>
      </c>
      <c r="M354" s="24">
        <v>21700000</v>
      </c>
      <c r="N354" s="24">
        <f t="shared" si="16"/>
        <v>-8273091</v>
      </c>
      <c r="O354" s="80">
        <f t="shared" si="17"/>
        <v>0</v>
      </c>
      <c r="P354" s="18" t="s">
        <v>777</v>
      </c>
      <c r="Q354" s="18" t="str">
        <f>IFERROR(VLOOKUP(D354,'[1]TT CÁ NHÂN'!$E$3:$F$407,2,FALSE),0)</f>
        <v>hatien021091@gmail.com</v>
      </c>
    </row>
    <row r="355" spans="1:17" s="18" customFormat="1" ht="21" customHeight="1" x14ac:dyDescent="0.25">
      <c r="A355" s="19" t="s">
        <v>57</v>
      </c>
      <c r="B355" s="20">
        <v>353</v>
      </c>
      <c r="C355" s="26" t="s">
        <v>406</v>
      </c>
      <c r="D355" s="27">
        <v>5610798368</v>
      </c>
      <c r="E355" s="23">
        <v>0</v>
      </c>
      <c r="F355" s="23">
        <v>700000</v>
      </c>
      <c r="G355" s="23">
        <v>0</v>
      </c>
      <c r="H355" s="23">
        <v>0</v>
      </c>
      <c r="I355" s="23">
        <v>5454540</v>
      </c>
      <c r="J355" s="23">
        <v>7792200</v>
      </c>
      <c r="K355" s="24">
        <f t="shared" si="15"/>
        <v>13946740</v>
      </c>
      <c r="L355" s="23">
        <v>818181</v>
      </c>
      <c r="M355" s="24">
        <v>15500000</v>
      </c>
      <c r="N355" s="24">
        <f t="shared" si="16"/>
        <v>-2371441</v>
      </c>
      <c r="O355" s="80">
        <f t="shared" si="17"/>
        <v>0</v>
      </c>
      <c r="P355" s="18" t="s">
        <v>778</v>
      </c>
      <c r="Q355" s="18" t="str">
        <f>IFERROR(VLOOKUP(D355,'[1]TT CÁ NHÂN'!$E$3:$F$407,2,FALSE),0)</f>
        <v>lihuyen2810@gmail.com</v>
      </c>
    </row>
    <row r="356" spans="1:17" s="18" customFormat="1" ht="21" customHeight="1" x14ac:dyDescent="0.25">
      <c r="A356" s="19" t="s">
        <v>94</v>
      </c>
      <c r="B356" s="20">
        <v>354</v>
      </c>
      <c r="C356" s="26" t="s">
        <v>407</v>
      </c>
      <c r="D356" s="27">
        <v>5611150165</v>
      </c>
      <c r="E356" s="23">
        <v>0</v>
      </c>
      <c r="F356" s="23">
        <v>700000</v>
      </c>
      <c r="G356" s="23">
        <v>0</v>
      </c>
      <c r="H356" s="23">
        <v>0</v>
      </c>
      <c r="I356" s="23">
        <v>7707960</v>
      </c>
      <c r="J356" s="23">
        <v>8564400</v>
      </c>
      <c r="K356" s="24">
        <f t="shared" si="15"/>
        <v>16972360</v>
      </c>
      <c r="L356" s="23">
        <v>899262</v>
      </c>
      <c r="M356" s="24">
        <v>21700000</v>
      </c>
      <c r="N356" s="24">
        <f t="shared" si="16"/>
        <v>-5626902</v>
      </c>
      <c r="O356" s="80">
        <f t="shared" si="17"/>
        <v>0</v>
      </c>
      <c r="P356" s="18" t="s">
        <v>779</v>
      </c>
      <c r="Q356" s="18" t="str">
        <f>IFERROR(VLOOKUP(D356,'[1]TT CÁ NHÂN'!$E$3:$F$407,2,FALSE),0)</f>
        <v>tranhongngoc775@gmail.com</v>
      </c>
    </row>
    <row r="357" spans="1:17" s="18" customFormat="1" ht="21" customHeight="1" x14ac:dyDescent="0.25">
      <c r="A357" s="19" t="s">
        <v>25</v>
      </c>
      <c r="B357" s="20">
        <v>355</v>
      </c>
      <c r="C357" s="26" t="s">
        <v>408</v>
      </c>
      <c r="D357" s="27">
        <v>5610241507</v>
      </c>
      <c r="E357" s="23">
        <v>200000</v>
      </c>
      <c r="F357" s="23">
        <v>700000</v>
      </c>
      <c r="G357" s="23">
        <v>0</v>
      </c>
      <c r="H357" s="23">
        <v>0</v>
      </c>
      <c r="I357" s="23">
        <v>7707960</v>
      </c>
      <c r="J357" s="23">
        <v>8564400</v>
      </c>
      <c r="K357" s="24">
        <f t="shared" si="15"/>
        <v>17172360</v>
      </c>
      <c r="L357" s="23">
        <v>899262</v>
      </c>
      <c r="M357" s="24">
        <v>21700000</v>
      </c>
      <c r="N357" s="24">
        <f t="shared" si="16"/>
        <v>-5426902</v>
      </c>
      <c r="O357" s="80">
        <f t="shared" si="17"/>
        <v>0</v>
      </c>
      <c r="P357" s="18" t="s">
        <v>780</v>
      </c>
      <c r="Q357" s="18" t="str">
        <f>IFERROR(VLOOKUP(D357,'[1]TT CÁ NHÂN'!$E$3:$F$407,2,FALSE),0)</f>
        <v>kimoanhtran83@gmail.com</v>
      </c>
    </row>
    <row r="358" spans="1:17" ht="21" customHeight="1" x14ac:dyDescent="0.25">
      <c r="A358" s="19" t="s">
        <v>102</v>
      </c>
      <c r="B358" s="20">
        <v>356</v>
      </c>
      <c r="C358" s="25" t="s">
        <v>409</v>
      </c>
      <c r="D358" s="22">
        <v>8843369424</v>
      </c>
      <c r="E358" s="23">
        <v>0</v>
      </c>
      <c r="F358" s="23">
        <v>700000</v>
      </c>
      <c r="G358" s="23">
        <v>0</v>
      </c>
      <c r="H358" s="23">
        <v>0</v>
      </c>
      <c r="I358" s="23">
        <v>9097920</v>
      </c>
      <c r="J358" s="23">
        <v>10108800</v>
      </c>
      <c r="K358" s="24">
        <f t="shared" si="15"/>
        <v>19906720</v>
      </c>
      <c r="L358" s="23">
        <v>1061424</v>
      </c>
      <c r="M358" s="24">
        <v>27900000</v>
      </c>
      <c r="N358" s="24">
        <f t="shared" si="16"/>
        <v>-9054704</v>
      </c>
      <c r="O358" s="80">
        <f t="shared" si="17"/>
        <v>0</v>
      </c>
      <c r="P358" s="18" t="s">
        <v>781</v>
      </c>
      <c r="Q358" s="18" t="str">
        <f>IFERROR(VLOOKUP(D358,'[1]TT CÁ NHÂN'!$E$3:$F$407,2,FALSE),0)</f>
        <v>Lientrancdc@gmail.com</v>
      </c>
    </row>
    <row r="359" spans="1:17" ht="21" customHeight="1" x14ac:dyDescent="0.25">
      <c r="A359" s="19" t="s">
        <v>38</v>
      </c>
      <c r="B359" s="20">
        <v>357</v>
      </c>
      <c r="C359" s="41" t="s">
        <v>410</v>
      </c>
      <c r="D359" s="22">
        <v>5623448809</v>
      </c>
      <c r="E359" s="23">
        <v>0</v>
      </c>
      <c r="F359" s="23">
        <v>700000</v>
      </c>
      <c r="G359" s="23">
        <v>0</v>
      </c>
      <c r="H359" s="23">
        <v>0</v>
      </c>
      <c r="I359" s="23">
        <v>6318000</v>
      </c>
      <c r="J359" s="23">
        <v>7792200</v>
      </c>
      <c r="K359" s="24">
        <f t="shared" si="15"/>
        <v>14810200</v>
      </c>
      <c r="L359" s="23">
        <v>818181</v>
      </c>
      <c r="M359" s="24">
        <v>27900000</v>
      </c>
      <c r="N359" s="24">
        <f t="shared" si="16"/>
        <v>-13907981</v>
      </c>
      <c r="O359" s="80">
        <f t="shared" si="17"/>
        <v>0</v>
      </c>
      <c r="P359" s="18" t="s">
        <v>782</v>
      </c>
      <c r="Q359" s="18" t="str">
        <f>IFERROR(VLOOKUP(D359,'[1]TT CÁ NHÂN'!$E$3:$F$407,2,FALSE),0)</f>
        <v>mailoancdcdanang@gmail.com</v>
      </c>
    </row>
    <row r="360" spans="1:17" ht="21" customHeight="1" x14ac:dyDescent="0.25">
      <c r="A360" s="19" t="s">
        <v>64</v>
      </c>
      <c r="B360" s="20">
        <v>358</v>
      </c>
      <c r="C360" s="26" t="s">
        <v>411</v>
      </c>
      <c r="D360" s="27">
        <v>5611149002</v>
      </c>
      <c r="E360" s="23">
        <v>0</v>
      </c>
      <c r="F360" s="23">
        <v>700000</v>
      </c>
      <c r="G360" s="23">
        <v>0</v>
      </c>
      <c r="H360" s="23">
        <v>0</v>
      </c>
      <c r="I360" s="23">
        <v>7707960</v>
      </c>
      <c r="J360" s="23">
        <v>8564400</v>
      </c>
      <c r="K360" s="24">
        <f t="shared" si="15"/>
        <v>16972360</v>
      </c>
      <c r="L360" s="23">
        <v>899262</v>
      </c>
      <c r="M360" s="24">
        <v>21700000</v>
      </c>
      <c r="N360" s="24">
        <f t="shared" si="16"/>
        <v>-5626902</v>
      </c>
      <c r="O360" s="80">
        <f t="shared" si="17"/>
        <v>0</v>
      </c>
      <c r="P360" s="18" t="s">
        <v>783</v>
      </c>
      <c r="Q360" s="18" t="str">
        <f>IFERROR(VLOOKUP(D360,'[1]TT CÁ NHÂN'!$E$3:$F$407,2,FALSE),0)</f>
        <v>chauduoccdc@gmail.com</v>
      </c>
    </row>
    <row r="361" spans="1:17" ht="21" customHeight="1" x14ac:dyDescent="0.25">
      <c r="A361" s="19" t="s">
        <v>50</v>
      </c>
      <c r="B361" s="20">
        <v>359</v>
      </c>
      <c r="C361" s="26" t="s">
        <v>412</v>
      </c>
      <c r="D361" s="27">
        <v>5611150086</v>
      </c>
      <c r="E361" s="23">
        <v>0</v>
      </c>
      <c r="F361" s="23">
        <v>700000</v>
      </c>
      <c r="G361" s="23">
        <v>0</v>
      </c>
      <c r="H361" s="23">
        <v>3200000</v>
      </c>
      <c r="I361" s="23">
        <v>7707960</v>
      </c>
      <c r="J361" s="23">
        <v>8564400</v>
      </c>
      <c r="K361" s="24">
        <f t="shared" si="15"/>
        <v>20172360</v>
      </c>
      <c r="L361" s="23">
        <v>899262</v>
      </c>
      <c r="M361" s="24">
        <v>34100000</v>
      </c>
      <c r="N361" s="24">
        <f t="shared" si="16"/>
        <v>-14826902</v>
      </c>
      <c r="O361" s="80">
        <f t="shared" si="17"/>
        <v>0</v>
      </c>
      <c r="P361" s="18" t="s">
        <v>784</v>
      </c>
      <c r="Q361" s="18" t="str">
        <f>IFERROR(VLOOKUP(D361,'[1]TT CÁ NHÂN'!$E$3:$F$407,2,FALSE),0)</f>
        <v>tt9622104@gmail.com</v>
      </c>
    </row>
    <row r="362" spans="1:17" ht="21" customHeight="1" x14ac:dyDescent="0.25">
      <c r="A362" s="19" t="s">
        <v>55</v>
      </c>
      <c r="B362" s="20">
        <v>360</v>
      </c>
      <c r="C362" s="26" t="s">
        <v>413</v>
      </c>
      <c r="D362" s="27">
        <v>5611542869</v>
      </c>
      <c r="E362" s="23">
        <v>0</v>
      </c>
      <c r="F362" s="23">
        <v>700000</v>
      </c>
      <c r="G362" s="23">
        <v>0</v>
      </c>
      <c r="H362" s="23">
        <v>0</v>
      </c>
      <c r="I362" s="23">
        <v>5623020</v>
      </c>
      <c r="J362" s="23">
        <v>6247800</v>
      </c>
      <c r="K362" s="24">
        <f t="shared" si="15"/>
        <v>12570820</v>
      </c>
      <c r="L362" s="23">
        <v>656019</v>
      </c>
      <c r="M362" s="24">
        <v>21700000</v>
      </c>
      <c r="N362" s="24">
        <f t="shared" si="16"/>
        <v>-9785199</v>
      </c>
      <c r="O362" s="80">
        <f t="shared" si="17"/>
        <v>0</v>
      </c>
      <c r="P362" s="18" t="s">
        <v>785</v>
      </c>
      <c r="Q362" s="18" t="str">
        <f>IFERROR(VLOOKUP(D362,'[1]TT CÁ NHÂN'!$E$3:$F$407,2,FALSE),0)</f>
        <v>phitrandn276@gmail.com</v>
      </c>
    </row>
    <row r="363" spans="1:17" ht="21" customHeight="1" x14ac:dyDescent="0.25">
      <c r="A363" s="19" t="s">
        <v>50</v>
      </c>
      <c r="B363" s="20">
        <v>361</v>
      </c>
      <c r="C363" s="25" t="s">
        <v>414</v>
      </c>
      <c r="D363" s="22">
        <v>8803327133</v>
      </c>
      <c r="E363" s="23">
        <v>445000</v>
      </c>
      <c r="F363" s="23">
        <v>700000</v>
      </c>
      <c r="G363" s="23">
        <v>0</v>
      </c>
      <c r="H363" s="23">
        <v>0</v>
      </c>
      <c r="I363" s="23">
        <v>10487880</v>
      </c>
      <c r="J363" s="23">
        <v>11653200</v>
      </c>
      <c r="K363" s="24">
        <f t="shared" si="15"/>
        <v>23286080</v>
      </c>
      <c r="L363" s="23">
        <v>1223586</v>
      </c>
      <c r="M363" s="24">
        <v>21700000</v>
      </c>
      <c r="N363" s="24">
        <f t="shared" si="16"/>
        <v>362494</v>
      </c>
      <c r="O363" s="80">
        <f t="shared" si="17"/>
        <v>18000</v>
      </c>
      <c r="P363" s="18" t="s">
        <v>786</v>
      </c>
      <c r="Q363" s="18" t="str">
        <f>IFERROR(VLOOKUP(D363,'[1]TT CÁ NHÂN'!$E$3:$F$407,2,FALSE),0)</f>
        <v>tranthitothanh0510@gmail.com</v>
      </c>
    </row>
    <row r="364" spans="1:17" ht="21" customHeight="1" x14ac:dyDescent="0.25">
      <c r="A364" s="19" t="s">
        <v>64</v>
      </c>
      <c r="B364" s="20">
        <v>362</v>
      </c>
      <c r="C364" s="21" t="s">
        <v>415</v>
      </c>
      <c r="D364" s="22">
        <v>5623447851</v>
      </c>
      <c r="E364" s="23">
        <v>0</v>
      </c>
      <c r="F364" s="23">
        <v>700000</v>
      </c>
      <c r="G364" s="23">
        <v>0</v>
      </c>
      <c r="H364" s="23">
        <v>0</v>
      </c>
      <c r="I364" s="23">
        <v>7686900</v>
      </c>
      <c r="J364" s="23">
        <v>8541000</v>
      </c>
      <c r="K364" s="24">
        <f t="shared" si="15"/>
        <v>16927900</v>
      </c>
      <c r="L364" s="23">
        <v>896805</v>
      </c>
      <c r="M364" s="24">
        <v>21700000</v>
      </c>
      <c r="N364" s="24">
        <f t="shared" si="16"/>
        <v>-5668905</v>
      </c>
      <c r="O364" s="80">
        <f t="shared" si="17"/>
        <v>0</v>
      </c>
      <c r="P364" s="18" t="s">
        <v>787</v>
      </c>
      <c r="Q364" s="18" t="str">
        <f>IFERROR(VLOOKUP(D364,'[1]TT CÁ NHÂN'!$E$3:$F$407,2,FALSE),0)</f>
        <v>thanhphucdc2510@gmail.com</v>
      </c>
    </row>
    <row r="365" spans="1:17" ht="21" customHeight="1" x14ac:dyDescent="0.25">
      <c r="A365" s="19" t="s">
        <v>61</v>
      </c>
      <c r="B365" s="20">
        <v>363</v>
      </c>
      <c r="C365" s="26" t="s">
        <v>416</v>
      </c>
      <c r="D365" s="27">
        <v>5611148896</v>
      </c>
      <c r="E365" s="23">
        <v>0</v>
      </c>
      <c r="F365" s="23">
        <v>700000</v>
      </c>
      <c r="G365" s="23">
        <v>0</v>
      </c>
      <c r="H365" s="23">
        <v>0</v>
      </c>
      <c r="I365" s="23">
        <v>6444360</v>
      </c>
      <c r="J365" s="23">
        <v>7160400</v>
      </c>
      <c r="K365" s="24">
        <f t="shared" si="15"/>
        <v>14304760</v>
      </c>
      <c r="L365" s="23">
        <v>751842</v>
      </c>
      <c r="M365" s="24">
        <v>15500000</v>
      </c>
      <c r="N365" s="24">
        <f t="shared" si="16"/>
        <v>-1947082</v>
      </c>
      <c r="O365" s="80">
        <f t="shared" si="17"/>
        <v>0</v>
      </c>
      <c r="P365" s="18" t="s">
        <v>788</v>
      </c>
      <c r="Q365" s="18" t="str">
        <f>IFERROR(VLOOKUP(D365,'[1]TT CÁ NHÂN'!$E$3:$F$407,2,FALSE),0)</f>
        <v>tttvan080289@gmail.com</v>
      </c>
    </row>
    <row r="366" spans="1:17" ht="21" customHeight="1" x14ac:dyDescent="0.25">
      <c r="A366" s="19" t="s">
        <v>50</v>
      </c>
      <c r="B366" s="20">
        <v>364</v>
      </c>
      <c r="C366" s="25" t="s">
        <v>417</v>
      </c>
      <c r="D366" s="22">
        <v>8843373271</v>
      </c>
      <c r="E366" s="23">
        <v>111000</v>
      </c>
      <c r="F366" s="23">
        <v>700000</v>
      </c>
      <c r="G366" s="23">
        <v>0</v>
      </c>
      <c r="H366" s="23">
        <v>0</v>
      </c>
      <c r="I366" s="23">
        <v>8992620</v>
      </c>
      <c r="J366" s="23">
        <v>9991800</v>
      </c>
      <c r="K366" s="24">
        <f t="shared" si="15"/>
        <v>19795420</v>
      </c>
      <c r="L366" s="23">
        <v>1049139</v>
      </c>
      <c r="M366" s="24">
        <v>21700000</v>
      </c>
      <c r="N366" s="24">
        <f t="shared" si="16"/>
        <v>-2953719</v>
      </c>
      <c r="O366" s="80">
        <f t="shared" si="17"/>
        <v>0</v>
      </c>
      <c r="P366" s="18" t="s">
        <v>789</v>
      </c>
      <c r="Q366" s="18" t="str">
        <f>IFERROR(VLOOKUP(D366,'[1]TT CÁ NHÂN'!$E$3:$F$407,2,FALSE),0)</f>
        <v>tranthithuba1973@gmail.com</v>
      </c>
    </row>
    <row r="367" spans="1:17" ht="21" customHeight="1" x14ac:dyDescent="0.25">
      <c r="A367" s="19" t="s">
        <v>71</v>
      </c>
      <c r="B367" s="20">
        <v>365</v>
      </c>
      <c r="C367" s="26" t="s">
        <v>418</v>
      </c>
      <c r="D367" s="27">
        <v>5610694271</v>
      </c>
      <c r="E367" s="23">
        <v>0</v>
      </c>
      <c r="F367" s="23">
        <v>700000</v>
      </c>
      <c r="G367" s="23">
        <v>0</v>
      </c>
      <c r="H367" s="23">
        <v>0</v>
      </c>
      <c r="I367" s="23">
        <v>8402940</v>
      </c>
      <c r="J367" s="23">
        <v>9336600</v>
      </c>
      <c r="K367" s="24">
        <f t="shared" si="15"/>
        <v>18439540</v>
      </c>
      <c r="L367" s="23">
        <v>980343</v>
      </c>
      <c r="M367" s="24">
        <v>21700000</v>
      </c>
      <c r="N367" s="24">
        <f t="shared" si="16"/>
        <v>-4240803</v>
      </c>
      <c r="O367" s="80">
        <f t="shared" si="17"/>
        <v>0</v>
      </c>
      <c r="P367" s="18" t="s">
        <v>790</v>
      </c>
      <c r="Q367" s="18" t="str">
        <f>IFERROR(VLOOKUP(D367,'[1]TT CÁ NHÂN'!$E$3:$F$407,2,FALSE),0)</f>
        <v>Thuhang221187@gmail.com</v>
      </c>
    </row>
    <row r="368" spans="1:17" ht="21" customHeight="1" x14ac:dyDescent="0.25">
      <c r="A368" s="19" t="s">
        <v>27</v>
      </c>
      <c r="B368" s="20">
        <v>366</v>
      </c>
      <c r="C368" s="31" t="s">
        <v>419</v>
      </c>
      <c r="D368" s="22">
        <v>5623455544</v>
      </c>
      <c r="E368" s="23">
        <v>0</v>
      </c>
      <c r="F368" s="23">
        <v>700000</v>
      </c>
      <c r="G368" s="23">
        <v>0</v>
      </c>
      <c r="H368" s="23">
        <v>0</v>
      </c>
      <c r="I368" s="23">
        <v>7012980</v>
      </c>
      <c r="J368" s="23">
        <v>7792200</v>
      </c>
      <c r="K368" s="24">
        <f t="shared" si="15"/>
        <v>15505180</v>
      </c>
      <c r="L368" s="23">
        <v>818181</v>
      </c>
      <c r="M368" s="24">
        <v>27900000</v>
      </c>
      <c r="N368" s="24">
        <f t="shared" si="16"/>
        <v>-13213001</v>
      </c>
      <c r="O368" s="80">
        <f t="shared" si="17"/>
        <v>0</v>
      </c>
      <c r="P368" s="18" t="s">
        <v>791</v>
      </c>
      <c r="Q368" s="18" t="str">
        <f>IFERROR(VLOOKUP(D368,'[1]TT CÁ NHÂN'!$E$3:$F$407,2,FALSE),0)</f>
        <v>thaogs91@gmail.com</v>
      </c>
    </row>
    <row r="369" spans="1:17" ht="21" customHeight="1" x14ac:dyDescent="0.25">
      <c r="A369" s="19" t="s">
        <v>112</v>
      </c>
      <c r="B369" s="20">
        <v>367</v>
      </c>
      <c r="C369" s="25" t="s">
        <v>420</v>
      </c>
      <c r="D369" s="22">
        <v>8813373268</v>
      </c>
      <c r="E369" s="23">
        <v>0</v>
      </c>
      <c r="F369" s="23">
        <v>700000</v>
      </c>
      <c r="G369" s="23">
        <v>0</v>
      </c>
      <c r="H369" s="23">
        <v>0</v>
      </c>
      <c r="I369" s="23">
        <v>9097920</v>
      </c>
      <c r="J369" s="23">
        <v>10108800</v>
      </c>
      <c r="K369" s="24">
        <f t="shared" si="15"/>
        <v>19906720</v>
      </c>
      <c r="L369" s="23">
        <v>1061424</v>
      </c>
      <c r="M369" s="24">
        <v>27900000</v>
      </c>
      <c r="N369" s="24">
        <f t="shared" si="16"/>
        <v>-9054704</v>
      </c>
      <c r="O369" s="80">
        <f t="shared" si="17"/>
        <v>0</v>
      </c>
      <c r="P369" s="18" t="s">
        <v>792</v>
      </c>
      <c r="Q369" s="18" t="str">
        <f>IFERROR(VLOOKUP(D369,'[1]TT CÁ NHÂN'!$E$3:$F$407,2,FALSE),0)</f>
        <v>truonghoa2chau@gmail.com</v>
      </c>
    </row>
    <row r="370" spans="1:17" ht="21" customHeight="1" x14ac:dyDescent="0.25">
      <c r="A370" s="19" t="s">
        <v>50</v>
      </c>
      <c r="B370" s="20">
        <v>368</v>
      </c>
      <c r="C370" s="26" t="s">
        <v>421</v>
      </c>
      <c r="D370" s="27">
        <v>5611150068</v>
      </c>
      <c r="E370" s="23">
        <v>0</v>
      </c>
      <c r="F370" s="23">
        <v>700000</v>
      </c>
      <c r="G370" s="23">
        <v>0</v>
      </c>
      <c r="H370" s="23">
        <v>3600000</v>
      </c>
      <c r="I370" s="23">
        <v>0</v>
      </c>
      <c r="J370" s="23">
        <v>7815600</v>
      </c>
      <c r="K370" s="24">
        <f t="shared" si="15"/>
        <v>12115600</v>
      </c>
      <c r="L370" s="23">
        <v>820638</v>
      </c>
      <c r="M370" s="24">
        <v>21700000</v>
      </c>
      <c r="N370" s="24">
        <f t="shared" si="16"/>
        <v>-10405038</v>
      </c>
      <c r="O370" s="80">
        <f t="shared" si="17"/>
        <v>0</v>
      </c>
      <c r="P370" s="18" t="s">
        <v>793</v>
      </c>
      <c r="Q370" s="18" t="str">
        <f>IFERROR(VLOOKUP(D370,'[1]TT CÁ NHÂN'!$E$3:$F$407,2,FALSE),0)</f>
        <v>vu45685@donga.edu.vn</v>
      </c>
    </row>
    <row r="371" spans="1:17" ht="21" customHeight="1" x14ac:dyDescent="0.25">
      <c r="A371" s="19" t="s">
        <v>44</v>
      </c>
      <c r="B371" s="20">
        <v>369</v>
      </c>
      <c r="C371" s="31" t="s">
        <v>422</v>
      </c>
      <c r="D371" s="22">
        <v>8833369403</v>
      </c>
      <c r="E371" s="23">
        <v>0</v>
      </c>
      <c r="F371" s="23">
        <v>700000</v>
      </c>
      <c r="G371" s="23">
        <v>0</v>
      </c>
      <c r="H371" s="23">
        <v>0</v>
      </c>
      <c r="I371" s="23">
        <v>11246040</v>
      </c>
      <c r="J371" s="23">
        <v>12495600</v>
      </c>
      <c r="K371" s="24">
        <f t="shared" si="15"/>
        <v>24441640</v>
      </c>
      <c r="L371" s="23">
        <v>1312038</v>
      </c>
      <c r="M371" s="24">
        <v>52700000</v>
      </c>
      <c r="N371" s="24">
        <f t="shared" si="16"/>
        <v>-29570398</v>
      </c>
      <c r="O371" s="80">
        <f t="shared" si="17"/>
        <v>0</v>
      </c>
      <c r="P371" s="18" t="s">
        <v>824</v>
      </c>
      <c r="Q371" s="18" t="str">
        <f>IFERROR(VLOOKUP(D371,'[1]TT CÁ NHÂN'!$E$3:$F$407,2,FALSE),0)</f>
        <v>tranvanvutk@gmail.com</v>
      </c>
    </row>
    <row r="372" spans="1:17" ht="21" customHeight="1" x14ac:dyDescent="0.25">
      <c r="A372" s="19" t="s">
        <v>61</v>
      </c>
      <c r="B372" s="20">
        <v>370</v>
      </c>
      <c r="C372" s="26" t="s">
        <v>423</v>
      </c>
      <c r="D372" s="27" t="s">
        <v>424</v>
      </c>
      <c r="E372" s="23">
        <v>0</v>
      </c>
      <c r="F372" s="23">
        <v>700000</v>
      </c>
      <c r="G372" s="23">
        <v>0</v>
      </c>
      <c r="H372" s="23">
        <v>0</v>
      </c>
      <c r="I372" s="23">
        <v>6318000</v>
      </c>
      <c r="J372" s="23">
        <v>7792200</v>
      </c>
      <c r="K372" s="24">
        <f t="shared" si="15"/>
        <v>14810200</v>
      </c>
      <c r="L372" s="23">
        <v>818181</v>
      </c>
      <c r="M372" s="24">
        <v>15500000</v>
      </c>
      <c r="N372" s="24">
        <f t="shared" si="16"/>
        <v>-1507981</v>
      </c>
      <c r="O372" s="80">
        <f t="shared" si="17"/>
        <v>0</v>
      </c>
      <c r="P372" s="18" t="s">
        <v>794</v>
      </c>
      <c r="Q372" s="18" t="str">
        <f>IFERROR(VLOOKUP(D372,'[1]TT CÁ NHÂN'!$E$3:$F$407,2,FALSE),0)</f>
        <v>quynhtnn031188@gmail.com</v>
      </c>
    </row>
    <row r="373" spans="1:17" ht="21" customHeight="1" x14ac:dyDescent="0.25">
      <c r="A373" s="19" t="s">
        <v>27</v>
      </c>
      <c r="B373" s="20">
        <v>371</v>
      </c>
      <c r="C373" s="26" t="s">
        <v>425</v>
      </c>
      <c r="D373" s="27" t="s">
        <v>426</v>
      </c>
      <c r="E373" s="23">
        <v>0</v>
      </c>
      <c r="F373" s="23">
        <v>700000</v>
      </c>
      <c r="G373" s="23">
        <v>0</v>
      </c>
      <c r="H373" s="23">
        <v>0</v>
      </c>
      <c r="I373" s="23">
        <v>7707960</v>
      </c>
      <c r="J373" s="23">
        <v>8564400</v>
      </c>
      <c r="K373" s="24">
        <f t="shared" si="15"/>
        <v>16972360</v>
      </c>
      <c r="L373" s="23">
        <v>899262</v>
      </c>
      <c r="M373" s="24">
        <v>27900000</v>
      </c>
      <c r="N373" s="24">
        <f t="shared" si="16"/>
        <v>-11826902</v>
      </c>
      <c r="O373" s="80">
        <f t="shared" si="17"/>
        <v>0</v>
      </c>
      <c r="P373" s="18" t="s">
        <v>823</v>
      </c>
      <c r="Q373" s="18" t="str">
        <f>IFERROR(VLOOKUP(D373,'[1]TT CÁ NHÂN'!$E$3:$F$407,2,FALSE),0)</f>
        <v>tnkhanhhoa@gmail.com</v>
      </c>
    </row>
    <row r="374" spans="1:17" ht="21" customHeight="1" x14ac:dyDescent="0.25">
      <c r="A374" s="50" t="s">
        <v>102</v>
      </c>
      <c r="B374" s="20">
        <v>372</v>
      </c>
      <c r="C374" s="44" t="s">
        <v>427</v>
      </c>
      <c r="D374" s="45">
        <v>5601640395</v>
      </c>
      <c r="E374" s="23">
        <v>0</v>
      </c>
      <c r="F374" s="23">
        <v>700000</v>
      </c>
      <c r="G374" s="23">
        <v>0</v>
      </c>
      <c r="H374" s="23">
        <v>0</v>
      </c>
      <c r="I374" s="23">
        <v>7012980</v>
      </c>
      <c r="J374" s="23">
        <v>7792200</v>
      </c>
      <c r="K374" s="24">
        <f t="shared" si="15"/>
        <v>15505180</v>
      </c>
      <c r="L374" s="23">
        <v>818181</v>
      </c>
      <c r="M374" s="24">
        <v>15500000</v>
      </c>
      <c r="N374" s="24">
        <f t="shared" si="16"/>
        <v>-813001</v>
      </c>
      <c r="O374" s="80">
        <f t="shared" si="17"/>
        <v>0</v>
      </c>
      <c r="P374" s="18" t="s">
        <v>795</v>
      </c>
      <c r="Q374" s="18" t="str">
        <f>IFERROR(VLOOKUP(D374,'[1]TT CÁ NHÂN'!$E$3:$F$407,2,FALSE),0)</f>
        <v>hangtrinh.1427@gmail.com</v>
      </c>
    </row>
    <row r="375" spans="1:17" ht="21" customHeight="1" x14ac:dyDescent="0.25">
      <c r="A375" s="19" t="s">
        <v>34</v>
      </c>
      <c r="B375" s="20">
        <v>373</v>
      </c>
      <c r="C375" s="30" t="s">
        <v>428</v>
      </c>
      <c r="D375" s="22">
        <v>8883379941</v>
      </c>
      <c r="E375" s="23">
        <v>0</v>
      </c>
      <c r="F375" s="23">
        <v>700000</v>
      </c>
      <c r="G375" s="23">
        <v>0</v>
      </c>
      <c r="H375" s="23">
        <v>0</v>
      </c>
      <c r="I375" s="23">
        <v>6318000</v>
      </c>
      <c r="J375" s="23">
        <v>7020000</v>
      </c>
      <c r="K375" s="24">
        <f t="shared" si="15"/>
        <v>14038000</v>
      </c>
      <c r="L375" s="23">
        <v>737100</v>
      </c>
      <c r="M375" s="24">
        <v>15500000</v>
      </c>
      <c r="N375" s="24">
        <f t="shared" si="16"/>
        <v>-2199100</v>
      </c>
      <c r="O375" s="80">
        <f t="shared" si="17"/>
        <v>0</v>
      </c>
      <c r="P375" s="18" t="s">
        <v>796</v>
      </c>
      <c r="Q375" s="18" t="str">
        <f>IFERROR(VLOOKUP(D375,'[1]TT CÁ NHÂN'!$E$3:$F$407,2,FALSE),0)</f>
        <v>tcgiahuy@gmail.com</v>
      </c>
    </row>
    <row r="376" spans="1:17" ht="21" customHeight="1" x14ac:dyDescent="0.25">
      <c r="A376" s="19" t="s">
        <v>42</v>
      </c>
      <c r="B376" s="20">
        <v>374</v>
      </c>
      <c r="C376" s="26" t="s">
        <v>429</v>
      </c>
      <c r="D376" s="27">
        <v>8831057555</v>
      </c>
      <c r="E376" s="23">
        <v>0</v>
      </c>
      <c r="F376" s="23">
        <v>700000</v>
      </c>
      <c r="G376" s="23">
        <v>0</v>
      </c>
      <c r="H376" s="23">
        <v>500000</v>
      </c>
      <c r="I376" s="23">
        <v>10361520</v>
      </c>
      <c r="J376" s="23">
        <v>11512800</v>
      </c>
      <c r="K376" s="24">
        <f t="shared" si="15"/>
        <v>23074320</v>
      </c>
      <c r="L376" s="23">
        <v>1208844</v>
      </c>
      <c r="M376" s="24">
        <v>27900000</v>
      </c>
      <c r="N376" s="24">
        <f t="shared" si="16"/>
        <v>-6034524</v>
      </c>
      <c r="O376" s="80">
        <f t="shared" si="17"/>
        <v>0</v>
      </c>
      <c r="P376" s="18" t="s">
        <v>797</v>
      </c>
      <c r="Q376" s="18" t="str">
        <f>IFERROR(VLOOKUP(D376,'[1]TT CÁ NHÂN'!$E$3:$F$407,2,FALSE),0)</f>
        <v>bsphuoc1977@gmail.com</v>
      </c>
    </row>
    <row r="377" spans="1:17" ht="21" customHeight="1" x14ac:dyDescent="0.25">
      <c r="A377" s="19" t="s">
        <v>61</v>
      </c>
      <c r="B377" s="20">
        <v>375</v>
      </c>
      <c r="C377" s="26" t="s">
        <v>430</v>
      </c>
      <c r="D377" s="27">
        <v>5611151052</v>
      </c>
      <c r="E377" s="23">
        <v>0</v>
      </c>
      <c r="F377" s="23">
        <v>700000</v>
      </c>
      <c r="G377" s="23">
        <v>0</v>
      </c>
      <c r="H377" s="23">
        <v>0</v>
      </c>
      <c r="I377" s="23">
        <v>0</v>
      </c>
      <c r="J377" s="23">
        <v>7745400</v>
      </c>
      <c r="K377" s="24">
        <f t="shared" si="15"/>
        <v>8445400</v>
      </c>
      <c r="L377" s="23">
        <v>813267</v>
      </c>
      <c r="M377" s="24">
        <v>15500000</v>
      </c>
      <c r="N377" s="24">
        <f t="shared" si="16"/>
        <v>-7867867</v>
      </c>
      <c r="O377" s="80">
        <f t="shared" si="17"/>
        <v>0</v>
      </c>
      <c r="P377" s="18">
        <v>0</v>
      </c>
      <c r="Q377" s="18">
        <f>IFERROR(VLOOKUP(D377,'[1]TT CÁ NHÂN'!$E$3:$F$407,2,FALSE),0)</f>
        <v>0</v>
      </c>
    </row>
    <row r="378" spans="1:17" ht="21" customHeight="1" x14ac:dyDescent="0.25">
      <c r="A378" s="50" t="s">
        <v>61</v>
      </c>
      <c r="B378" s="20">
        <v>376</v>
      </c>
      <c r="C378" s="25" t="s">
        <v>431</v>
      </c>
      <c r="D378" s="22">
        <v>8863369425</v>
      </c>
      <c r="E378" s="23">
        <v>0</v>
      </c>
      <c r="F378" s="23">
        <v>700000</v>
      </c>
      <c r="G378" s="23">
        <v>0</v>
      </c>
      <c r="H378" s="23">
        <v>0</v>
      </c>
      <c r="I378" s="23">
        <v>7707960</v>
      </c>
      <c r="J378" s="23">
        <v>8564400</v>
      </c>
      <c r="K378" s="24">
        <f t="shared" si="15"/>
        <v>16972360</v>
      </c>
      <c r="L378" s="23">
        <v>899262</v>
      </c>
      <c r="M378" s="24">
        <v>15500000</v>
      </c>
      <c r="N378" s="24">
        <f t="shared" si="16"/>
        <v>573098</v>
      </c>
      <c r="O378" s="80">
        <f t="shared" si="17"/>
        <v>29000</v>
      </c>
      <c r="P378" s="18" t="s">
        <v>822</v>
      </c>
      <c r="Q378" s="18" t="str">
        <f>IFERROR(VLOOKUP(D378,'[1]TT CÁ NHÂN'!$E$3:$F$407,2,FALSE),0)</f>
        <v>truongngocsi.89@gmail.com</v>
      </c>
    </row>
    <row r="379" spans="1:17" ht="21" customHeight="1" x14ac:dyDescent="0.25">
      <c r="A379" s="19" t="s">
        <v>31</v>
      </c>
      <c r="B379" s="20">
        <v>377</v>
      </c>
      <c r="C379" s="41" t="s">
        <v>432</v>
      </c>
      <c r="D379" s="22">
        <v>8853369408</v>
      </c>
      <c r="E379" s="23">
        <v>0</v>
      </c>
      <c r="F379" s="23">
        <v>700000</v>
      </c>
      <c r="G379" s="23">
        <v>0</v>
      </c>
      <c r="H379" s="23">
        <v>0</v>
      </c>
      <c r="I379" s="23">
        <v>7012980</v>
      </c>
      <c r="J379" s="23">
        <v>7792200</v>
      </c>
      <c r="K379" s="24">
        <f t="shared" si="15"/>
        <v>15505180</v>
      </c>
      <c r="L379" s="23">
        <v>818181</v>
      </c>
      <c r="M379" s="24">
        <v>27900000</v>
      </c>
      <c r="N379" s="24">
        <f t="shared" si="16"/>
        <v>-13213001</v>
      </c>
      <c r="O379" s="80">
        <f t="shared" si="17"/>
        <v>0</v>
      </c>
      <c r="P379" s="18" t="s">
        <v>798</v>
      </c>
      <c r="Q379" s="18" t="str">
        <f>IFERROR(VLOOKUP(D379,'[1]TT CÁ NHÂN'!$E$3:$F$407,2,FALSE),0)</f>
        <v>loitkqn1985@gmail.com</v>
      </c>
    </row>
    <row r="380" spans="1:17" ht="21" customHeight="1" x14ac:dyDescent="0.25">
      <c r="A380" s="19" t="s">
        <v>50</v>
      </c>
      <c r="B380" s="20">
        <v>378</v>
      </c>
      <c r="C380" s="26" t="s">
        <v>433</v>
      </c>
      <c r="D380" s="27">
        <v>5611151168</v>
      </c>
      <c r="E380" s="23">
        <v>0</v>
      </c>
      <c r="F380" s="23">
        <v>700000</v>
      </c>
      <c r="G380" s="23">
        <v>0</v>
      </c>
      <c r="H380" s="23">
        <v>10584940</v>
      </c>
      <c r="I380" s="23">
        <v>12678120</v>
      </c>
      <c r="J380" s="23">
        <v>14086800</v>
      </c>
      <c r="K380" s="24">
        <f t="shared" si="15"/>
        <v>38049860</v>
      </c>
      <c r="L380" s="23">
        <v>1479114</v>
      </c>
      <c r="M380" s="24">
        <v>21700000</v>
      </c>
      <c r="N380" s="24">
        <f t="shared" si="16"/>
        <v>14870746</v>
      </c>
      <c r="O380" s="80">
        <f t="shared" si="17"/>
        <v>987000</v>
      </c>
      <c r="P380" s="18" t="s">
        <v>799</v>
      </c>
      <c r="Q380" s="18" t="str">
        <f>IFERROR(VLOOKUP(D380,'[1]TT CÁ NHÂN'!$E$3:$F$407,2,FALSE),0)</f>
        <v>namtrt.aidsdn@gmail.com</v>
      </c>
    </row>
    <row r="381" spans="1:17" ht="21" customHeight="1" x14ac:dyDescent="0.25">
      <c r="A381" s="19" t="s">
        <v>55</v>
      </c>
      <c r="B381" s="20">
        <v>379</v>
      </c>
      <c r="C381" s="25" t="s">
        <v>434</v>
      </c>
      <c r="D381" s="22">
        <v>8873369421</v>
      </c>
      <c r="E381" s="23">
        <v>0</v>
      </c>
      <c r="F381" s="23">
        <v>700000</v>
      </c>
      <c r="G381" s="23">
        <v>0</v>
      </c>
      <c r="H381" s="23">
        <v>0</v>
      </c>
      <c r="I381" s="23">
        <v>7012980</v>
      </c>
      <c r="J381" s="23">
        <v>8564400</v>
      </c>
      <c r="K381" s="24">
        <f t="shared" si="15"/>
        <v>16277380</v>
      </c>
      <c r="L381" s="23">
        <v>899262</v>
      </c>
      <c r="M381" s="24">
        <v>15500000</v>
      </c>
      <c r="N381" s="24">
        <f t="shared" si="16"/>
        <v>-121882</v>
      </c>
      <c r="O381" s="80">
        <f t="shared" si="17"/>
        <v>0</v>
      </c>
      <c r="P381" s="18" t="s">
        <v>800</v>
      </c>
      <c r="Q381" s="18" t="str">
        <f>IFERROR(VLOOKUP(D381,'[1]TT CÁ NHÂN'!$E$3:$F$407,2,FALSE),0)</f>
        <v>camnguyendn123@gmail.com</v>
      </c>
    </row>
    <row r="382" spans="1:17" ht="21" customHeight="1" x14ac:dyDescent="0.25">
      <c r="A382" s="19" t="s">
        <v>31</v>
      </c>
      <c r="B382" s="20">
        <v>380</v>
      </c>
      <c r="C382" s="26" t="s">
        <v>435</v>
      </c>
      <c r="D382" s="27">
        <v>5611148391</v>
      </c>
      <c r="E382" s="23">
        <v>0</v>
      </c>
      <c r="F382" s="23">
        <v>700000</v>
      </c>
      <c r="G382" s="23">
        <v>0</v>
      </c>
      <c r="H382" s="23">
        <v>0</v>
      </c>
      <c r="I382" s="23">
        <v>7707960</v>
      </c>
      <c r="J382" s="23">
        <v>8564400</v>
      </c>
      <c r="K382" s="24">
        <f t="shared" si="15"/>
        <v>16972360</v>
      </c>
      <c r="L382" s="23">
        <v>899262</v>
      </c>
      <c r="M382" s="24">
        <v>15500000</v>
      </c>
      <c r="N382" s="24">
        <f t="shared" si="16"/>
        <v>573098</v>
      </c>
      <c r="O382" s="80">
        <f t="shared" si="17"/>
        <v>29000</v>
      </c>
      <c r="P382" s="18" t="s">
        <v>801</v>
      </c>
      <c r="Q382" s="18" t="str">
        <f>IFERROR(VLOOKUP(D382,'[1]TT CÁ NHÂN'!$E$3:$F$407,2,FALSE),0)</f>
        <v>thudung.drpm@gmail.com</v>
      </c>
    </row>
    <row r="383" spans="1:17" ht="21" customHeight="1" x14ac:dyDescent="0.25">
      <c r="A383" s="19" t="s">
        <v>55</v>
      </c>
      <c r="B383" s="20">
        <v>381</v>
      </c>
      <c r="C383" s="26" t="s">
        <v>436</v>
      </c>
      <c r="D383" s="27">
        <v>5611149862</v>
      </c>
      <c r="E383" s="23">
        <v>0</v>
      </c>
      <c r="F383" s="23">
        <v>700000</v>
      </c>
      <c r="G383" s="23">
        <v>0</v>
      </c>
      <c r="H383" s="23">
        <v>0</v>
      </c>
      <c r="I383" s="23">
        <v>9792900</v>
      </c>
      <c r="J383" s="23">
        <v>10881000</v>
      </c>
      <c r="K383" s="24">
        <f t="shared" si="15"/>
        <v>21373900</v>
      </c>
      <c r="L383" s="23">
        <v>1142505</v>
      </c>
      <c r="M383" s="24">
        <v>27900000</v>
      </c>
      <c r="N383" s="24">
        <f t="shared" si="16"/>
        <v>-7668605</v>
      </c>
      <c r="O383" s="80">
        <f t="shared" si="17"/>
        <v>0</v>
      </c>
      <c r="P383" s="18" t="s">
        <v>802</v>
      </c>
      <c r="Q383" s="18" t="str">
        <f>IFERROR(VLOOKUP(D383,'[1]TT CÁ NHÂN'!$E$3:$F$407,2,FALSE),0)</f>
        <v>truongbichthuan069@gmail.com</v>
      </c>
    </row>
    <row r="384" spans="1:17" ht="21" customHeight="1" x14ac:dyDescent="0.25">
      <c r="A384" s="19" t="s">
        <v>102</v>
      </c>
      <c r="B384" s="20">
        <v>382</v>
      </c>
      <c r="C384" s="40" t="s">
        <v>437</v>
      </c>
      <c r="D384" s="22">
        <v>8813369402</v>
      </c>
      <c r="E384" s="23">
        <v>0</v>
      </c>
      <c r="F384" s="23">
        <v>700000</v>
      </c>
      <c r="G384" s="23">
        <v>0</v>
      </c>
      <c r="H384" s="23">
        <v>0</v>
      </c>
      <c r="I384" s="23">
        <v>8402940</v>
      </c>
      <c r="J384" s="23">
        <v>9336600</v>
      </c>
      <c r="K384" s="24">
        <f t="shared" si="15"/>
        <v>18439540</v>
      </c>
      <c r="L384" s="23">
        <v>980343</v>
      </c>
      <c r="M384" s="24">
        <v>27900000</v>
      </c>
      <c r="N384" s="24">
        <f t="shared" si="16"/>
        <v>-10440803</v>
      </c>
      <c r="O384" s="80">
        <f t="shared" si="17"/>
        <v>0</v>
      </c>
      <c r="P384" s="18" t="s">
        <v>803</v>
      </c>
      <c r="Q384" s="18" t="str">
        <f>IFERROR(VLOOKUP(D384,'[1]TT CÁ NHÂN'!$E$3:$F$407,2,FALSE),0)</f>
        <v>tvh1404@gmail.com</v>
      </c>
    </row>
    <row r="385" spans="1:17" ht="21" customHeight="1" x14ac:dyDescent="0.25">
      <c r="A385" s="19" t="s">
        <v>61</v>
      </c>
      <c r="B385" s="20">
        <v>383</v>
      </c>
      <c r="C385" s="26" t="s">
        <v>438</v>
      </c>
      <c r="D385" s="27">
        <v>8821614738</v>
      </c>
      <c r="E385" s="23">
        <v>0</v>
      </c>
      <c r="F385" s="23">
        <v>700000</v>
      </c>
      <c r="G385" s="23">
        <v>0</v>
      </c>
      <c r="H385" s="23">
        <v>0</v>
      </c>
      <c r="I385" s="23">
        <v>0</v>
      </c>
      <c r="J385" s="23">
        <v>4820400</v>
      </c>
      <c r="K385" s="24">
        <f t="shared" si="15"/>
        <v>5520400</v>
      </c>
      <c r="L385" s="23">
        <v>506142</v>
      </c>
      <c r="M385" s="24">
        <v>15500000</v>
      </c>
      <c r="N385" s="24">
        <f t="shared" si="16"/>
        <v>-10485742</v>
      </c>
      <c r="O385" s="80">
        <f t="shared" si="17"/>
        <v>0</v>
      </c>
      <c r="P385" s="18" t="s">
        <v>804</v>
      </c>
      <c r="Q385" s="18" t="str">
        <f>IFERROR(VLOOKUP(D385,'[1]TT CÁ NHÂN'!$E$3:$F$407,2,FALSE),0)</f>
        <v>vanquythuan1995@gmail.com</v>
      </c>
    </row>
    <row r="386" spans="1:17" ht="21" customHeight="1" x14ac:dyDescent="0.25">
      <c r="A386" s="19" t="s">
        <v>64</v>
      </c>
      <c r="B386" s="20">
        <v>384</v>
      </c>
      <c r="C386" s="30" t="s">
        <v>439</v>
      </c>
      <c r="D386" s="22">
        <v>5623455128</v>
      </c>
      <c r="E386" s="23">
        <v>0</v>
      </c>
      <c r="F386" s="23">
        <v>700000</v>
      </c>
      <c r="G386" s="23">
        <v>0</v>
      </c>
      <c r="H386" s="23">
        <v>0</v>
      </c>
      <c r="I386" s="23">
        <v>7012980</v>
      </c>
      <c r="J386" s="23">
        <v>7792200</v>
      </c>
      <c r="K386" s="24">
        <f t="shared" si="15"/>
        <v>15505180</v>
      </c>
      <c r="L386" s="23">
        <v>818181</v>
      </c>
      <c r="M386" s="24">
        <v>15500000</v>
      </c>
      <c r="N386" s="24">
        <f t="shared" si="16"/>
        <v>-813001</v>
      </c>
      <c r="O386" s="80">
        <f t="shared" si="17"/>
        <v>0</v>
      </c>
      <c r="P386" s="18" t="s">
        <v>805</v>
      </c>
      <c r="Q386" s="18" t="str">
        <f>IFERROR(VLOOKUP(D386,'[1]TT CÁ NHÂN'!$E$3:$F$407,2,FALSE),0)</f>
        <v>vanthiyen.duoc@gmail.com</v>
      </c>
    </row>
    <row r="387" spans="1:17" ht="21" customHeight="1" x14ac:dyDescent="0.25">
      <c r="A387" s="19" t="s">
        <v>31</v>
      </c>
      <c r="B387" s="20">
        <v>385</v>
      </c>
      <c r="C387" s="26" t="s">
        <v>440</v>
      </c>
      <c r="D387" s="27">
        <v>5611148498</v>
      </c>
      <c r="E387" s="23">
        <v>0</v>
      </c>
      <c r="F387" s="23">
        <v>700000</v>
      </c>
      <c r="G387" s="23">
        <v>0</v>
      </c>
      <c r="H387" s="23">
        <v>0</v>
      </c>
      <c r="I387" s="23">
        <v>6318000</v>
      </c>
      <c r="J387" s="23">
        <v>7020000</v>
      </c>
      <c r="K387" s="24">
        <f t="shared" ref="K387:K403" si="18">SUM(E387:J387)</f>
        <v>14038000</v>
      </c>
      <c r="L387" s="23">
        <v>737100</v>
      </c>
      <c r="M387" s="24">
        <v>15500000</v>
      </c>
      <c r="N387" s="24">
        <f t="shared" si="16"/>
        <v>-2199100</v>
      </c>
      <c r="O387" s="80">
        <f t="shared" si="17"/>
        <v>0</v>
      </c>
      <c r="P387" s="18" t="s">
        <v>806</v>
      </c>
      <c r="Q387" s="18" t="str">
        <f>IFERROR(VLOOKUP(D387,'[1]TT CÁ NHÂN'!$E$3:$F$407,2,FALSE),0)</f>
        <v>giangvokdqt@gmail.com</v>
      </c>
    </row>
    <row r="388" spans="1:17" ht="21" customHeight="1" x14ac:dyDescent="0.25">
      <c r="A388" s="19" t="s">
        <v>50</v>
      </c>
      <c r="B388" s="20">
        <v>386</v>
      </c>
      <c r="C388" s="26" t="s">
        <v>441</v>
      </c>
      <c r="D388" s="27">
        <v>5611040220</v>
      </c>
      <c r="E388" s="23">
        <v>1002000</v>
      </c>
      <c r="F388" s="23">
        <v>700000</v>
      </c>
      <c r="G388" s="23">
        <v>0</v>
      </c>
      <c r="H388" s="23">
        <v>1200000</v>
      </c>
      <c r="I388" s="23">
        <v>6381180</v>
      </c>
      <c r="J388" s="23">
        <v>7090200</v>
      </c>
      <c r="K388" s="24">
        <f t="shared" si="18"/>
        <v>16373380</v>
      </c>
      <c r="L388" s="23">
        <v>744471</v>
      </c>
      <c r="M388" s="24">
        <v>21700000</v>
      </c>
      <c r="N388" s="24">
        <f t="shared" ref="N388:N403" si="19">K388-L388-M388</f>
        <v>-6071091</v>
      </c>
      <c r="O388" s="80">
        <f t="shared" ref="O388:O403" si="20">ROUND(IF(N388&gt;100000000,N388*35%-14500000,IF(N388&gt;60000000,N388*30%-9500000,IF(N388&gt;30000000,N388*20%-3500000,IF(N388&gt;10000000,N388*10%-500000,IF(N388&gt;0,N388*5%,0))))),-3)</f>
        <v>0</v>
      </c>
      <c r="P388" s="18" t="s">
        <v>807</v>
      </c>
      <c r="Q388" s="18" t="str">
        <f>IFERROR(VLOOKUP(D388,'[1]TT CÁ NHÂN'!$E$3:$F$407,2,FALSE),0)</f>
        <v>voduyhung1601@gmail.com</v>
      </c>
    </row>
    <row r="389" spans="1:17" ht="21" customHeight="1" x14ac:dyDescent="0.25">
      <c r="A389" s="19" t="s">
        <v>61</v>
      </c>
      <c r="B389" s="20">
        <v>387</v>
      </c>
      <c r="C389" s="31" t="s">
        <v>442</v>
      </c>
      <c r="D389" s="22">
        <v>8843380045</v>
      </c>
      <c r="E389" s="23">
        <v>0</v>
      </c>
      <c r="F389" s="23">
        <v>700000</v>
      </c>
      <c r="G389" s="23">
        <v>0</v>
      </c>
      <c r="H389" s="23">
        <v>0</v>
      </c>
      <c r="I389" s="23">
        <v>0</v>
      </c>
      <c r="J389" s="23">
        <v>8143200</v>
      </c>
      <c r="K389" s="24">
        <f t="shared" si="18"/>
        <v>8843200</v>
      </c>
      <c r="L389" s="23">
        <v>855036</v>
      </c>
      <c r="M389" s="24">
        <v>15500000</v>
      </c>
      <c r="N389" s="24">
        <f t="shared" si="19"/>
        <v>-7511836</v>
      </c>
      <c r="O389" s="80">
        <f t="shared" si="20"/>
        <v>0</v>
      </c>
      <c r="P389" s="18">
        <v>0</v>
      </c>
      <c r="Q389" s="18">
        <f>IFERROR(VLOOKUP(D389,'[1]TT CÁ NHÂN'!$E$3:$F$407,2,FALSE),0)</f>
        <v>0</v>
      </c>
    </row>
    <row r="390" spans="1:17" ht="21" customHeight="1" x14ac:dyDescent="0.25">
      <c r="A390" s="19" t="s">
        <v>22</v>
      </c>
      <c r="B390" s="20">
        <v>388</v>
      </c>
      <c r="C390" s="31" t="s">
        <v>443</v>
      </c>
      <c r="D390" s="22">
        <v>8893373263</v>
      </c>
      <c r="E390" s="23">
        <v>0</v>
      </c>
      <c r="F390" s="23">
        <v>700000</v>
      </c>
      <c r="G390" s="23">
        <v>0</v>
      </c>
      <c r="H390" s="23">
        <v>0</v>
      </c>
      <c r="I390" s="23">
        <v>5623020</v>
      </c>
      <c r="J390" s="23">
        <v>6247800</v>
      </c>
      <c r="K390" s="24">
        <f t="shared" si="18"/>
        <v>12570820</v>
      </c>
      <c r="L390" s="23">
        <v>656019</v>
      </c>
      <c r="M390" s="24">
        <v>21700000</v>
      </c>
      <c r="N390" s="24">
        <f t="shared" si="19"/>
        <v>-9785199</v>
      </c>
      <c r="O390" s="80">
        <f t="shared" si="20"/>
        <v>0</v>
      </c>
      <c r="P390" s="18" t="s">
        <v>808</v>
      </c>
      <c r="Q390" s="18" t="str">
        <f>IFERROR(VLOOKUP(D390,'[1]TT CÁ NHÂN'!$E$3:$F$407,2,FALSE),0)</f>
        <v>thanhtan280291@gmail.com</v>
      </c>
    </row>
    <row r="391" spans="1:17" ht="21" customHeight="1" x14ac:dyDescent="0.25">
      <c r="A391" s="19" t="s">
        <v>40</v>
      </c>
      <c r="B391" s="20">
        <v>389</v>
      </c>
      <c r="C391" s="26" t="s">
        <v>444</v>
      </c>
      <c r="D391" s="27">
        <v>5610281789</v>
      </c>
      <c r="E391" s="23">
        <v>0</v>
      </c>
      <c r="F391" s="23">
        <v>700000</v>
      </c>
      <c r="G391" s="23">
        <v>0</v>
      </c>
      <c r="H391" s="23">
        <v>0</v>
      </c>
      <c r="I391" s="23">
        <v>11962080</v>
      </c>
      <c r="J391" s="23">
        <v>13291200</v>
      </c>
      <c r="K391" s="24">
        <f t="shared" si="18"/>
        <v>25953280</v>
      </c>
      <c r="L391" s="23">
        <v>1395576</v>
      </c>
      <c r="M391" s="24">
        <v>15500000</v>
      </c>
      <c r="N391" s="24">
        <f t="shared" si="19"/>
        <v>9057704</v>
      </c>
      <c r="O391" s="80">
        <f t="shared" si="20"/>
        <v>453000</v>
      </c>
      <c r="P391" s="18" t="s">
        <v>809</v>
      </c>
      <c r="Q391" s="18" t="str">
        <f>IFERROR(VLOOKUP(D391,'[1]TT CÁ NHÂN'!$E$3:$F$407,2,FALSE),0)</f>
        <v>vothiduyle@gmail.com</v>
      </c>
    </row>
    <row r="392" spans="1:17" ht="21" customHeight="1" x14ac:dyDescent="0.25">
      <c r="A392" s="19" t="s">
        <v>55</v>
      </c>
      <c r="B392" s="20">
        <v>390</v>
      </c>
      <c r="C392" s="25" t="s">
        <v>445</v>
      </c>
      <c r="D392" s="22">
        <v>8821479824</v>
      </c>
      <c r="E392" s="23">
        <v>0</v>
      </c>
      <c r="F392" s="23">
        <v>700000</v>
      </c>
      <c r="G392" s="23">
        <v>0</v>
      </c>
      <c r="H392" s="23">
        <v>0</v>
      </c>
      <c r="I392" s="23">
        <v>9792900</v>
      </c>
      <c r="J392" s="23">
        <v>10881000</v>
      </c>
      <c r="K392" s="24">
        <f t="shared" si="18"/>
        <v>21373900</v>
      </c>
      <c r="L392" s="23">
        <v>1142505</v>
      </c>
      <c r="M392" s="24">
        <v>27900000</v>
      </c>
      <c r="N392" s="24">
        <f t="shared" si="19"/>
        <v>-7668605</v>
      </c>
      <c r="O392" s="80">
        <f t="shared" si="20"/>
        <v>0</v>
      </c>
      <c r="P392" s="18" t="s">
        <v>810</v>
      </c>
      <c r="Q392" s="18" t="str">
        <f>IFERROR(VLOOKUP(D392,'[1]TT CÁ NHÂN'!$E$3:$F$407,2,FALSE),0)</f>
        <v>vokimlien07@gmail.com</v>
      </c>
    </row>
    <row r="393" spans="1:17" ht="21" customHeight="1" x14ac:dyDescent="0.25">
      <c r="A393" s="19" t="s">
        <v>94</v>
      </c>
      <c r="B393" s="20">
        <v>391</v>
      </c>
      <c r="C393" s="26" t="s">
        <v>446</v>
      </c>
      <c r="D393" s="27">
        <v>5610703849</v>
      </c>
      <c r="E393" s="23">
        <v>0</v>
      </c>
      <c r="F393" s="23">
        <v>700000</v>
      </c>
      <c r="G393" s="23">
        <v>0</v>
      </c>
      <c r="H393" s="23">
        <v>0</v>
      </c>
      <c r="I393" s="23">
        <v>6381180</v>
      </c>
      <c r="J393" s="23">
        <v>7090200</v>
      </c>
      <c r="K393" s="24">
        <f t="shared" si="18"/>
        <v>14171380</v>
      </c>
      <c r="L393" s="23">
        <v>744471</v>
      </c>
      <c r="M393" s="24">
        <v>21700000</v>
      </c>
      <c r="N393" s="24">
        <f t="shared" si="19"/>
        <v>-8273091</v>
      </c>
      <c r="O393" s="80">
        <f t="shared" si="20"/>
        <v>0</v>
      </c>
      <c r="P393" s="18" t="s">
        <v>811</v>
      </c>
      <c r="Q393" s="18" t="str">
        <f>IFERROR(VLOOKUP(D393,'[1]TT CÁ NHÂN'!$E$3:$F$407,2,FALSE),0)</f>
        <v>linhvtm1991@gmail.com</v>
      </c>
    </row>
    <row r="394" spans="1:17" ht="21" customHeight="1" x14ac:dyDescent="0.25">
      <c r="A394" s="19" t="s">
        <v>94</v>
      </c>
      <c r="B394" s="20">
        <v>392</v>
      </c>
      <c r="C394" s="26" t="s">
        <v>447</v>
      </c>
      <c r="D394" s="27">
        <v>5611333221</v>
      </c>
      <c r="E394" s="23">
        <v>0</v>
      </c>
      <c r="F394" s="23">
        <v>700000</v>
      </c>
      <c r="G394" s="23">
        <v>0</v>
      </c>
      <c r="H394" s="23">
        <v>0</v>
      </c>
      <c r="I394" s="23">
        <v>7707960</v>
      </c>
      <c r="J394" s="23">
        <v>8564400</v>
      </c>
      <c r="K394" s="24">
        <f t="shared" si="18"/>
        <v>16972360</v>
      </c>
      <c r="L394" s="23">
        <v>899262</v>
      </c>
      <c r="M394" s="24">
        <v>27900000</v>
      </c>
      <c r="N394" s="24">
        <f t="shared" si="19"/>
        <v>-11826902</v>
      </c>
      <c r="O394" s="80">
        <f t="shared" si="20"/>
        <v>0</v>
      </c>
      <c r="P394" s="18" t="s">
        <v>812</v>
      </c>
      <c r="Q394" s="18" t="str">
        <f>IFERROR(VLOOKUP(D394,'[1]TT CÁ NHÂN'!$E$3:$F$407,2,FALSE),0)</f>
        <v>vonghiaqn@gmail.com</v>
      </c>
    </row>
    <row r="395" spans="1:17" ht="21" customHeight="1" x14ac:dyDescent="0.25">
      <c r="A395" s="19" t="s">
        <v>55</v>
      </c>
      <c r="B395" s="20">
        <v>393</v>
      </c>
      <c r="C395" s="25" t="s">
        <v>448</v>
      </c>
      <c r="D395" s="22">
        <v>5620580313</v>
      </c>
      <c r="E395" s="23">
        <v>0</v>
      </c>
      <c r="F395" s="23">
        <v>700000</v>
      </c>
      <c r="G395" s="23">
        <v>0</v>
      </c>
      <c r="H395" s="23">
        <v>0</v>
      </c>
      <c r="I395" s="23">
        <v>9792900</v>
      </c>
      <c r="J395" s="23">
        <v>10881000</v>
      </c>
      <c r="K395" s="24">
        <f t="shared" si="18"/>
        <v>21373900</v>
      </c>
      <c r="L395" s="23">
        <v>1142505</v>
      </c>
      <c r="M395" s="24">
        <v>21700000</v>
      </c>
      <c r="N395" s="24">
        <f t="shared" si="19"/>
        <v>-1468605</v>
      </c>
      <c r="O395" s="80">
        <f t="shared" si="20"/>
        <v>0</v>
      </c>
      <c r="P395" s="18" t="s">
        <v>813</v>
      </c>
      <c r="Q395" s="18" t="str">
        <f>IFERROR(VLOOKUP(D395,'[1]TT CÁ NHÂN'!$E$3:$F$407,2,FALSE),0)</f>
        <v>thuvohuy75@gmail.com</v>
      </c>
    </row>
    <row r="396" spans="1:17" ht="21" customHeight="1" x14ac:dyDescent="0.25">
      <c r="A396" s="19" t="s">
        <v>38</v>
      </c>
      <c r="B396" s="20">
        <v>394</v>
      </c>
      <c r="C396" s="40" t="s">
        <v>449</v>
      </c>
      <c r="D396" s="22">
        <v>5623448739</v>
      </c>
      <c r="E396" s="23">
        <v>0</v>
      </c>
      <c r="F396" s="23">
        <v>700000</v>
      </c>
      <c r="G396" s="23">
        <v>0</v>
      </c>
      <c r="H396" s="23">
        <v>0</v>
      </c>
      <c r="I396" s="23">
        <v>8065980</v>
      </c>
      <c r="J396" s="23">
        <v>8962200</v>
      </c>
      <c r="K396" s="24">
        <f t="shared" si="18"/>
        <v>17728180</v>
      </c>
      <c r="L396" s="23">
        <v>941031</v>
      </c>
      <c r="M396" s="24">
        <v>27900000</v>
      </c>
      <c r="N396" s="24">
        <f t="shared" si="19"/>
        <v>-11112851</v>
      </c>
      <c r="O396" s="80">
        <f t="shared" si="20"/>
        <v>0</v>
      </c>
      <c r="P396" s="18" t="s">
        <v>814</v>
      </c>
      <c r="Q396" s="18" t="str">
        <f>IFERROR(VLOOKUP(D396,'[1]TT CÁ NHÂN'!$E$3:$F$407,2,FALSE),0)</f>
        <v>trangcdcqnam@gmail.com</v>
      </c>
    </row>
    <row r="397" spans="1:17" ht="21" customHeight="1" x14ac:dyDescent="0.25">
      <c r="A397" s="19" t="s">
        <v>57</v>
      </c>
      <c r="B397" s="20">
        <v>395</v>
      </c>
      <c r="C397" s="26" t="s">
        <v>450</v>
      </c>
      <c r="D397" s="27">
        <v>5610577196</v>
      </c>
      <c r="E397" s="23">
        <v>0</v>
      </c>
      <c r="F397" s="23">
        <v>700000</v>
      </c>
      <c r="G397" s="23">
        <v>0</v>
      </c>
      <c r="H397" s="23">
        <v>0</v>
      </c>
      <c r="I397" s="23">
        <v>7707960</v>
      </c>
      <c r="J397" s="23">
        <v>8564400</v>
      </c>
      <c r="K397" s="24">
        <f t="shared" si="18"/>
        <v>16972360</v>
      </c>
      <c r="L397" s="23">
        <v>899262</v>
      </c>
      <c r="M397" s="24">
        <v>27900000</v>
      </c>
      <c r="N397" s="24">
        <f t="shared" si="19"/>
        <v>-11826902</v>
      </c>
      <c r="O397" s="80">
        <f t="shared" si="20"/>
        <v>0</v>
      </c>
      <c r="P397" s="18" t="s">
        <v>815</v>
      </c>
      <c r="Q397" s="18" t="str">
        <f>IFERROR(VLOOKUP(D397,'[1]TT CÁ NHÂN'!$E$3:$F$407,2,FALSE),0)</f>
        <v>votuyetnhung.bk@gmail.com</v>
      </c>
    </row>
    <row r="398" spans="1:17" ht="21" customHeight="1" x14ac:dyDescent="0.25">
      <c r="A398" s="19" t="s">
        <v>451</v>
      </c>
      <c r="B398" s="20">
        <v>396</v>
      </c>
      <c r="C398" s="41" t="s">
        <v>452</v>
      </c>
      <c r="D398" s="22">
        <v>5623455793</v>
      </c>
      <c r="E398" s="23">
        <v>0</v>
      </c>
      <c r="F398" s="23">
        <v>700000</v>
      </c>
      <c r="G398" s="23">
        <v>0</v>
      </c>
      <c r="H398" s="23">
        <v>0</v>
      </c>
      <c r="I398" s="23">
        <v>12144600</v>
      </c>
      <c r="J398" s="23">
        <v>13759200</v>
      </c>
      <c r="K398" s="24">
        <f t="shared" si="18"/>
        <v>26603800</v>
      </c>
      <c r="L398" s="23">
        <v>1444716</v>
      </c>
      <c r="M398" s="24">
        <v>27900000</v>
      </c>
      <c r="N398" s="24">
        <f t="shared" si="19"/>
        <v>-2740916</v>
      </c>
      <c r="O398" s="80">
        <f t="shared" si="20"/>
        <v>0</v>
      </c>
      <c r="P398" s="18" t="s">
        <v>816</v>
      </c>
      <c r="Q398" s="18" t="str">
        <f>IFERROR(VLOOKUP(D398,'[1]TT CÁ NHÂN'!$E$3:$F$407,2,FALSE),0)</f>
        <v>vthoangsr@gmail.com</v>
      </c>
    </row>
    <row r="399" spans="1:17" ht="21" customHeight="1" x14ac:dyDescent="0.25">
      <c r="A399" s="19" t="s">
        <v>38</v>
      </c>
      <c r="B399" s="20">
        <v>397</v>
      </c>
      <c r="C399" s="41" t="s">
        <v>453</v>
      </c>
      <c r="D399" s="22">
        <v>8863369400</v>
      </c>
      <c r="E399" s="23">
        <v>0</v>
      </c>
      <c r="F399" s="23">
        <v>700000</v>
      </c>
      <c r="G399" s="23">
        <v>0</v>
      </c>
      <c r="H399" s="23">
        <v>0</v>
      </c>
      <c r="I399" s="23">
        <v>7012980</v>
      </c>
      <c r="J399" s="23">
        <v>7792200</v>
      </c>
      <c r="K399" s="24">
        <f t="shared" si="18"/>
        <v>15505180</v>
      </c>
      <c r="L399" s="23">
        <v>818181</v>
      </c>
      <c r="M399" s="24">
        <v>15500000</v>
      </c>
      <c r="N399" s="24">
        <f t="shared" si="19"/>
        <v>-813001</v>
      </c>
      <c r="O399" s="80">
        <f t="shared" si="20"/>
        <v>0</v>
      </c>
      <c r="P399" s="18" t="s">
        <v>817</v>
      </c>
      <c r="Q399" s="18" t="str">
        <f>IFERROR(VLOOKUP(D399,'[1]TT CÁ NHÂN'!$E$3:$F$407,2,FALSE),0)</f>
        <v>vinhhaosrbcqn@gmail.com</v>
      </c>
    </row>
    <row r="400" spans="1:17" ht="21" customHeight="1" x14ac:dyDescent="0.25">
      <c r="A400" s="54" t="s">
        <v>42</v>
      </c>
      <c r="B400" s="20">
        <v>398</v>
      </c>
      <c r="C400" s="26" t="s">
        <v>454</v>
      </c>
      <c r="D400" s="27">
        <v>5611148133</v>
      </c>
      <c r="E400" s="23">
        <v>0</v>
      </c>
      <c r="F400" s="23">
        <v>700000</v>
      </c>
      <c r="G400" s="23">
        <v>0</v>
      </c>
      <c r="H400" s="23">
        <v>0</v>
      </c>
      <c r="I400" s="23">
        <v>6318000</v>
      </c>
      <c r="J400" s="23">
        <v>7020000</v>
      </c>
      <c r="K400" s="24">
        <f t="shared" si="18"/>
        <v>14038000</v>
      </c>
      <c r="L400" s="23">
        <v>737100</v>
      </c>
      <c r="M400" s="24">
        <v>27900000</v>
      </c>
      <c r="N400" s="24">
        <f t="shared" si="19"/>
        <v>-14599100</v>
      </c>
      <c r="O400" s="80">
        <f t="shared" si="20"/>
        <v>0</v>
      </c>
      <c r="P400" s="18" t="s">
        <v>818</v>
      </c>
      <c r="Q400" s="18" t="str">
        <f>IFERROR(VLOOKUP(D400,'[1]TT CÁ NHÂN'!$E$3:$F$407,2,FALSE),0)</f>
        <v>haunesta@gmail.com</v>
      </c>
    </row>
    <row r="401" spans="1:17" ht="21" customHeight="1" x14ac:dyDescent="0.25">
      <c r="A401" s="55" t="s">
        <v>80</v>
      </c>
      <c r="B401" s="20">
        <v>399</v>
      </c>
      <c r="C401" s="30" t="s">
        <v>455</v>
      </c>
      <c r="D401" s="22">
        <v>8873369415</v>
      </c>
      <c r="E401" s="23">
        <v>0</v>
      </c>
      <c r="F401" s="23">
        <v>700000</v>
      </c>
      <c r="G401" s="23">
        <v>0</v>
      </c>
      <c r="H401" s="23">
        <v>0</v>
      </c>
      <c r="I401" s="23">
        <v>8760960</v>
      </c>
      <c r="J401" s="23">
        <v>9968400</v>
      </c>
      <c r="K401" s="24">
        <f t="shared" si="18"/>
        <v>19429360</v>
      </c>
      <c r="L401" s="23">
        <v>1046682</v>
      </c>
      <c r="M401" s="24">
        <v>21700000</v>
      </c>
      <c r="N401" s="24">
        <f t="shared" si="19"/>
        <v>-3317322</v>
      </c>
      <c r="O401" s="80">
        <f t="shared" si="20"/>
        <v>0</v>
      </c>
      <c r="P401" s="18" t="s">
        <v>819</v>
      </c>
      <c r="Q401" s="18" t="str">
        <f>IFERROR(VLOOKUP(D401,'[1]TT CÁ NHÂN'!$E$3:$F$407,2,FALSE),0)</f>
        <v>Vungochoangtk@gmail.com</v>
      </c>
    </row>
    <row r="402" spans="1:17" ht="21" customHeight="1" x14ac:dyDescent="0.25">
      <c r="A402" s="55" t="s">
        <v>38</v>
      </c>
      <c r="B402" s="20">
        <v>400</v>
      </c>
      <c r="C402" s="30" t="s">
        <v>456</v>
      </c>
      <c r="D402" s="22">
        <v>5623455076</v>
      </c>
      <c r="E402" s="23">
        <v>0</v>
      </c>
      <c r="F402" s="23">
        <v>700000</v>
      </c>
      <c r="G402" s="23">
        <v>0</v>
      </c>
      <c r="H402" s="23">
        <v>0</v>
      </c>
      <c r="I402" s="23">
        <v>7012980</v>
      </c>
      <c r="J402" s="23">
        <v>7792200</v>
      </c>
      <c r="K402" s="24">
        <f t="shared" si="18"/>
        <v>15505180</v>
      </c>
      <c r="L402" s="23">
        <v>818181</v>
      </c>
      <c r="M402" s="24">
        <v>15500000</v>
      </c>
      <c r="N402" s="24">
        <f t="shared" si="19"/>
        <v>-813001</v>
      </c>
      <c r="O402" s="80">
        <f t="shared" si="20"/>
        <v>0</v>
      </c>
      <c r="P402" s="18" t="s">
        <v>820</v>
      </c>
      <c r="Q402" s="18" t="str">
        <f>IFERROR(VLOOKUP(D402,'[1]TT CÁ NHÂN'!$E$3:$F$407,2,FALSE),0)</f>
        <v>vunguyenthienthaco@gmail.com</v>
      </c>
    </row>
    <row r="403" spans="1:17" ht="21" customHeight="1" x14ac:dyDescent="0.25">
      <c r="A403" s="55" t="s">
        <v>44</v>
      </c>
      <c r="B403" s="56">
        <v>401</v>
      </c>
      <c r="C403" s="57" t="s">
        <v>457</v>
      </c>
      <c r="D403" s="58">
        <v>5611151140</v>
      </c>
      <c r="E403" s="59">
        <v>0</v>
      </c>
      <c r="F403" s="59">
        <v>700000</v>
      </c>
      <c r="G403" s="59">
        <v>0</v>
      </c>
      <c r="H403" s="59">
        <v>1849432</v>
      </c>
      <c r="I403" s="59">
        <v>7707960</v>
      </c>
      <c r="J403" s="59">
        <v>8564400</v>
      </c>
      <c r="K403" s="60">
        <f t="shared" si="18"/>
        <v>18821792</v>
      </c>
      <c r="L403" s="59">
        <v>899262</v>
      </c>
      <c r="M403" s="60">
        <v>21700000</v>
      </c>
      <c r="N403" s="60">
        <f t="shared" si="19"/>
        <v>-3777470</v>
      </c>
      <c r="O403" s="81">
        <f t="shared" si="20"/>
        <v>0</v>
      </c>
      <c r="P403" s="18" t="s">
        <v>821</v>
      </c>
      <c r="Q403" s="18" t="str">
        <f>IFERROR(VLOOKUP(D403,'[1]TT CÁ NHÂN'!$E$3:$F$407,2,FALSE),0)</f>
        <v>vuthanhhuyen121176@gmail.com</v>
      </c>
    </row>
    <row r="404" spans="1:17" s="65" customFormat="1" ht="25.5" customHeight="1" x14ac:dyDescent="0.25">
      <c r="A404" s="61"/>
      <c r="B404" s="62"/>
      <c r="C404" s="62" t="s">
        <v>458</v>
      </c>
      <c r="D404" s="63"/>
      <c r="E404" s="63">
        <f>SUM(E3:E403)</f>
        <v>13962000</v>
      </c>
      <c r="F404" s="63">
        <f t="shared" ref="F404:J404" si="21">SUM(F3:F403)</f>
        <v>279300000</v>
      </c>
      <c r="G404" s="63">
        <f t="shared" si="21"/>
        <v>8410000</v>
      </c>
      <c r="H404" s="63">
        <f t="shared" si="21"/>
        <v>60039000</v>
      </c>
      <c r="I404" s="63">
        <f t="shared" si="21"/>
        <v>2698014422</v>
      </c>
      <c r="J404" s="63">
        <f t="shared" si="21"/>
        <v>3378102340</v>
      </c>
      <c r="K404" s="64">
        <f>SUM(K3:K403)</f>
        <v>6437827762</v>
      </c>
      <c r="L404" s="63">
        <f t="shared" ref="L404:O404" si="22">SUM(L3:L403)</f>
        <v>352523570</v>
      </c>
      <c r="M404" s="64">
        <f t="shared" si="22"/>
        <v>8943500000</v>
      </c>
      <c r="N404" s="64">
        <f t="shared" si="22"/>
        <v>-2858195808</v>
      </c>
      <c r="O404" s="64">
        <f t="shared" si="22"/>
        <v>10087000</v>
      </c>
    </row>
    <row r="405" spans="1:17" x14ac:dyDescent="0.25">
      <c r="J405" s="68" t="s">
        <v>459</v>
      </c>
      <c r="K405" s="69">
        <f>K404</f>
        <v>6437827762</v>
      </c>
      <c r="L405" s="68" t="s">
        <v>460</v>
      </c>
      <c r="M405" s="69">
        <f>O404</f>
        <v>10087000</v>
      </c>
      <c r="N405" s="70"/>
      <c r="O405" s="73"/>
    </row>
    <row r="406" spans="1:17" x14ac:dyDescent="0.25">
      <c r="J406" s="53"/>
      <c r="K406" s="71"/>
      <c r="L406" s="71"/>
      <c r="M406" s="72" t="s">
        <v>461</v>
      </c>
      <c r="O406" s="73"/>
    </row>
    <row r="407" spans="1:17" x14ac:dyDescent="0.25">
      <c r="J407" s="74" t="s">
        <v>462</v>
      </c>
      <c r="K407" s="74"/>
      <c r="L407" s="74" t="s">
        <v>463</v>
      </c>
      <c r="M407" s="75"/>
      <c r="N407" s="76" t="s">
        <v>464</v>
      </c>
      <c r="O407" s="73"/>
    </row>
    <row r="408" spans="1:17" ht="69" customHeight="1" x14ac:dyDescent="0.25">
      <c r="J408" s="53"/>
      <c r="L408" s="53"/>
    </row>
    <row r="409" spans="1:17" x14ac:dyDescent="0.25">
      <c r="J409" s="74" t="s">
        <v>465</v>
      </c>
      <c r="K409" s="74"/>
      <c r="L409" s="74" t="s">
        <v>466</v>
      </c>
      <c r="M409" s="75"/>
      <c r="N409" s="76" t="s">
        <v>467</v>
      </c>
      <c r="O409" s="73"/>
    </row>
  </sheetData>
  <conditionalFormatting sqref="D40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 Phan Thị Yến</dc:creator>
  <cp:lastModifiedBy>Ly Phan Thị Yến</cp:lastModifiedBy>
  <dcterms:created xsi:type="dcterms:W3CDTF">2026-05-15T02:55:48Z</dcterms:created>
  <dcterms:modified xsi:type="dcterms:W3CDTF">2026-05-15T06:56:56Z</dcterms:modified>
</cp:coreProperties>
</file>