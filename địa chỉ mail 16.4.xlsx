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D:\CDC\du an goi email\"/>
    </mc:Choice>
  </mc:AlternateContent>
  <xr:revisionPtr revIDLastSave="0" documentId="13_ncr:1_{AE33D47D-D619-4427-B0DA-66E9ECAE2F44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quý I2026" sheetId="1" r:id="rId1"/>
  </sheets>
  <definedNames>
    <definedName name="_xlnm._FilterDatabase" localSheetId="0" hidden="1">'quý I2026'!$Q$1:$Q$383</definedName>
    <definedName name="_xlnm.Print_Titles" localSheetId="0">'quý I2026'!$6:$7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R47" i="1" l="1"/>
  <c r="Q375" i="1"/>
  <c r="M375" i="1"/>
  <c r="I375" i="1"/>
  <c r="X374" i="1"/>
  <c r="V374" i="1"/>
  <c r="T374" i="1"/>
  <c r="R374" i="1"/>
  <c r="N374" i="1"/>
  <c r="J374" i="1"/>
  <c r="X373" i="1"/>
  <c r="V373" i="1"/>
  <c r="T373" i="1"/>
  <c r="R373" i="1"/>
  <c r="N373" i="1"/>
  <c r="J373" i="1"/>
  <c r="X372" i="1"/>
  <c r="V372" i="1"/>
  <c r="T372" i="1"/>
  <c r="R372" i="1"/>
  <c r="N372" i="1"/>
  <c r="J372" i="1"/>
  <c r="X371" i="1"/>
  <c r="V371" i="1"/>
  <c r="T371" i="1"/>
  <c r="R371" i="1"/>
  <c r="N371" i="1"/>
  <c r="J371" i="1"/>
  <c r="X370" i="1"/>
  <c r="V370" i="1"/>
  <c r="T370" i="1"/>
  <c r="R370" i="1"/>
  <c r="N370" i="1"/>
  <c r="J370" i="1"/>
  <c r="X369" i="1"/>
  <c r="V369" i="1"/>
  <c r="T369" i="1"/>
  <c r="R369" i="1"/>
  <c r="N369" i="1"/>
  <c r="J369" i="1"/>
  <c r="X368" i="1"/>
  <c r="V368" i="1"/>
  <c r="T368" i="1"/>
  <c r="R368" i="1"/>
  <c r="N368" i="1"/>
  <c r="J368" i="1"/>
  <c r="X367" i="1"/>
  <c r="V367" i="1"/>
  <c r="T367" i="1"/>
  <c r="R367" i="1"/>
  <c r="N367" i="1"/>
  <c r="J367" i="1"/>
  <c r="X366" i="1"/>
  <c r="V366" i="1"/>
  <c r="T366" i="1"/>
  <c r="R366" i="1"/>
  <c r="N366" i="1"/>
  <c r="J366" i="1"/>
  <c r="X365" i="1"/>
  <c r="V365" i="1"/>
  <c r="T365" i="1"/>
  <c r="R365" i="1"/>
  <c r="N365" i="1"/>
  <c r="J365" i="1"/>
  <c r="X364" i="1"/>
  <c r="V364" i="1"/>
  <c r="T364" i="1"/>
  <c r="R364" i="1"/>
  <c r="N364" i="1"/>
  <c r="J364" i="1"/>
  <c r="X362" i="1"/>
  <c r="V362" i="1"/>
  <c r="T362" i="1"/>
  <c r="R362" i="1"/>
  <c r="N362" i="1"/>
  <c r="J362" i="1"/>
  <c r="X361" i="1"/>
  <c r="V361" i="1"/>
  <c r="T361" i="1"/>
  <c r="R361" i="1"/>
  <c r="N361" i="1"/>
  <c r="J361" i="1"/>
  <c r="X360" i="1"/>
  <c r="V360" i="1"/>
  <c r="T360" i="1"/>
  <c r="R360" i="1"/>
  <c r="N360" i="1"/>
  <c r="J360" i="1"/>
  <c r="X359" i="1"/>
  <c r="V359" i="1"/>
  <c r="T359" i="1"/>
  <c r="R359" i="1"/>
  <c r="N359" i="1"/>
  <c r="J359" i="1"/>
  <c r="X358" i="1"/>
  <c r="V358" i="1"/>
  <c r="T358" i="1"/>
  <c r="R358" i="1"/>
  <c r="N358" i="1"/>
  <c r="J358" i="1"/>
  <c r="X357" i="1"/>
  <c r="V357" i="1"/>
  <c r="T357" i="1"/>
  <c r="R357" i="1"/>
  <c r="N357" i="1"/>
  <c r="J357" i="1"/>
  <c r="X356" i="1"/>
  <c r="V356" i="1"/>
  <c r="T356" i="1"/>
  <c r="R356" i="1"/>
  <c r="N356" i="1"/>
  <c r="J356" i="1"/>
  <c r="X355" i="1"/>
  <c r="V355" i="1"/>
  <c r="T355" i="1"/>
  <c r="R355" i="1"/>
  <c r="N355" i="1"/>
  <c r="J355" i="1"/>
  <c r="X354" i="1"/>
  <c r="V354" i="1"/>
  <c r="T354" i="1"/>
  <c r="R354" i="1"/>
  <c r="N354" i="1"/>
  <c r="J354" i="1"/>
  <c r="X353" i="1"/>
  <c r="V353" i="1"/>
  <c r="T353" i="1"/>
  <c r="R353" i="1"/>
  <c r="N353" i="1"/>
  <c r="J353" i="1"/>
  <c r="X352" i="1"/>
  <c r="V352" i="1"/>
  <c r="T352" i="1"/>
  <c r="R352" i="1"/>
  <c r="N352" i="1"/>
  <c r="J352" i="1"/>
  <c r="X351" i="1"/>
  <c r="V351" i="1"/>
  <c r="T351" i="1"/>
  <c r="R351" i="1"/>
  <c r="N351" i="1"/>
  <c r="J351" i="1"/>
  <c r="X350" i="1"/>
  <c r="V350" i="1"/>
  <c r="T350" i="1"/>
  <c r="R350" i="1"/>
  <c r="N350" i="1"/>
  <c r="J350" i="1"/>
  <c r="X349" i="1"/>
  <c r="V349" i="1"/>
  <c r="T349" i="1"/>
  <c r="R349" i="1"/>
  <c r="N349" i="1"/>
  <c r="J349" i="1"/>
  <c r="X348" i="1"/>
  <c r="V348" i="1"/>
  <c r="T348" i="1"/>
  <c r="R348" i="1"/>
  <c r="N348" i="1"/>
  <c r="J348" i="1"/>
  <c r="X347" i="1"/>
  <c r="V347" i="1"/>
  <c r="T347" i="1"/>
  <c r="R347" i="1"/>
  <c r="N347" i="1"/>
  <c r="J347" i="1"/>
  <c r="X346" i="1"/>
  <c r="V346" i="1"/>
  <c r="T346" i="1"/>
  <c r="R346" i="1"/>
  <c r="N346" i="1"/>
  <c r="J346" i="1"/>
  <c r="X345" i="1"/>
  <c r="V345" i="1"/>
  <c r="T345" i="1"/>
  <c r="R345" i="1"/>
  <c r="N345" i="1"/>
  <c r="J345" i="1"/>
  <c r="X344" i="1"/>
  <c r="V344" i="1"/>
  <c r="T344" i="1"/>
  <c r="R344" i="1"/>
  <c r="N344" i="1"/>
  <c r="J344" i="1"/>
  <c r="X343" i="1"/>
  <c r="V343" i="1"/>
  <c r="T343" i="1"/>
  <c r="R343" i="1"/>
  <c r="N343" i="1"/>
  <c r="J343" i="1"/>
  <c r="X342" i="1"/>
  <c r="V342" i="1"/>
  <c r="T342" i="1"/>
  <c r="R342" i="1"/>
  <c r="N342" i="1"/>
  <c r="J342" i="1"/>
  <c r="X341" i="1"/>
  <c r="V341" i="1"/>
  <c r="T341" i="1"/>
  <c r="R341" i="1"/>
  <c r="N341" i="1"/>
  <c r="J341" i="1"/>
  <c r="X340" i="1"/>
  <c r="V340" i="1"/>
  <c r="T340" i="1"/>
  <c r="R340" i="1"/>
  <c r="N340" i="1"/>
  <c r="J340" i="1"/>
  <c r="X339" i="1"/>
  <c r="V339" i="1"/>
  <c r="T339" i="1"/>
  <c r="R339" i="1"/>
  <c r="N339" i="1"/>
  <c r="J339" i="1"/>
  <c r="X338" i="1"/>
  <c r="V338" i="1"/>
  <c r="T338" i="1"/>
  <c r="R338" i="1"/>
  <c r="N338" i="1"/>
  <c r="J338" i="1"/>
  <c r="X337" i="1"/>
  <c r="V337" i="1"/>
  <c r="T337" i="1"/>
  <c r="R337" i="1"/>
  <c r="N337" i="1"/>
  <c r="J337" i="1"/>
  <c r="X336" i="1"/>
  <c r="V336" i="1"/>
  <c r="T336" i="1"/>
  <c r="R336" i="1"/>
  <c r="N336" i="1"/>
  <c r="J336" i="1"/>
  <c r="X335" i="1"/>
  <c r="V335" i="1"/>
  <c r="T335" i="1"/>
  <c r="R335" i="1"/>
  <c r="N335" i="1"/>
  <c r="J335" i="1"/>
  <c r="X334" i="1"/>
  <c r="V334" i="1"/>
  <c r="T334" i="1"/>
  <c r="R334" i="1"/>
  <c r="N334" i="1"/>
  <c r="J334" i="1"/>
  <c r="X333" i="1"/>
  <c r="V333" i="1"/>
  <c r="T333" i="1"/>
  <c r="R333" i="1"/>
  <c r="N333" i="1"/>
  <c r="J333" i="1"/>
  <c r="X332" i="1"/>
  <c r="V332" i="1"/>
  <c r="T332" i="1"/>
  <c r="R332" i="1"/>
  <c r="N332" i="1"/>
  <c r="J332" i="1"/>
  <c r="X331" i="1"/>
  <c r="V331" i="1"/>
  <c r="T331" i="1"/>
  <c r="R331" i="1"/>
  <c r="N331" i="1"/>
  <c r="J331" i="1"/>
  <c r="X330" i="1"/>
  <c r="V330" i="1"/>
  <c r="T330" i="1"/>
  <c r="R330" i="1"/>
  <c r="N330" i="1"/>
  <c r="J330" i="1"/>
  <c r="X329" i="1"/>
  <c r="V329" i="1"/>
  <c r="T329" i="1"/>
  <c r="R329" i="1"/>
  <c r="N329" i="1"/>
  <c r="J329" i="1"/>
  <c r="X328" i="1"/>
  <c r="V328" i="1"/>
  <c r="T328" i="1"/>
  <c r="R328" i="1"/>
  <c r="N328" i="1"/>
  <c r="J328" i="1"/>
  <c r="X327" i="1"/>
  <c r="V327" i="1"/>
  <c r="T327" i="1"/>
  <c r="R327" i="1"/>
  <c r="N327" i="1"/>
  <c r="J327" i="1"/>
  <c r="X326" i="1"/>
  <c r="V326" i="1"/>
  <c r="T326" i="1"/>
  <c r="R326" i="1"/>
  <c r="N326" i="1"/>
  <c r="J326" i="1"/>
  <c r="X325" i="1"/>
  <c r="V325" i="1"/>
  <c r="T325" i="1"/>
  <c r="R325" i="1"/>
  <c r="N325" i="1"/>
  <c r="J325" i="1"/>
  <c r="X324" i="1"/>
  <c r="V324" i="1"/>
  <c r="T324" i="1"/>
  <c r="R324" i="1"/>
  <c r="N324" i="1"/>
  <c r="J324" i="1"/>
  <c r="X323" i="1"/>
  <c r="V323" i="1"/>
  <c r="T323" i="1"/>
  <c r="R323" i="1"/>
  <c r="N323" i="1"/>
  <c r="J323" i="1"/>
  <c r="X322" i="1"/>
  <c r="V322" i="1"/>
  <c r="T322" i="1"/>
  <c r="R322" i="1"/>
  <c r="N322" i="1"/>
  <c r="J322" i="1"/>
  <c r="X321" i="1"/>
  <c r="V321" i="1"/>
  <c r="T321" i="1"/>
  <c r="R321" i="1"/>
  <c r="N321" i="1"/>
  <c r="J321" i="1"/>
  <c r="X320" i="1"/>
  <c r="V320" i="1"/>
  <c r="T320" i="1"/>
  <c r="R320" i="1"/>
  <c r="N320" i="1"/>
  <c r="J320" i="1"/>
  <c r="X319" i="1"/>
  <c r="V319" i="1"/>
  <c r="T319" i="1"/>
  <c r="R319" i="1"/>
  <c r="N319" i="1"/>
  <c r="J319" i="1"/>
  <c r="X318" i="1"/>
  <c r="V318" i="1"/>
  <c r="T318" i="1"/>
  <c r="R318" i="1"/>
  <c r="N318" i="1"/>
  <c r="J318" i="1"/>
  <c r="X317" i="1"/>
  <c r="V317" i="1"/>
  <c r="T317" i="1"/>
  <c r="R317" i="1"/>
  <c r="N317" i="1"/>
  <c r="J317" i="1"/>
  <c r="X316" i="1"/>
  <c r="V316" i="1"/>
  <c r="T316" i="1"/>
  <c r="R316" i="1"/>
  <c r="N316" i="1"/>
  <c r="J316" i="1"/>
  <c r="X315" i="1"/>
  <c r="V315" i="1"/>
  <c r="T315" i="1"/>
  <c r="R315" i="1"/>
  <c r="N315" i="1"/>
  <c r="J315" i="1"/>
  <c r="X314" i="1"/>
  <c r="V314" i="1"/>
  <c r="T314" i="1"/>
  <c r="R314" i="1"/>
  <c r="N314" i="1"/>
  <c r="J314" i="1"/>
  <c r="X313" i="1"/>
  <c r="V313" i="1"/>
  <c r="T313" i="1"/>
  <c r="R313" i="1"/>
  <c r="N313" i="1"/>
  <c r="J313" i="1"/>
  <c r="X312" i="1"/>
  <c r="V312" i="1"/>
  <c r="T312" i="1"/>
  <c r="R312" i="1"/>
  <c r="N312" i="1"/>
  <c r="J312" i="1"/>
  <c r="X311" i="1"/>
  <c r="V311" i="1"/>
  <c r="T311" i="1"/>
  <c r="P311" i="1"/>
  <c r="R311" i="1" s="1"/>
  <c r="L311" i="1"/>
  <c r="N311" i="1" s="1"/>
  <c r="H311" i="1"/>
  <c r="J311" i="1" s="1"/>
  <c r="X310" i="1"/>
  <c r="V310" i="1"/>
  <c r="T310" i="1"/>
  <c r="R310" i="1"/>
  <c r="N310" i="1"/>
  <c r="J310" i="1"/>
  <c r="X309" i="1"/>
  <c r="V309" i="1"/>
  <c r="T309" i="1"/>
  <c r="P309" i="1"/>
  <c r="R309" i="1" s="1"/>
  <c r="L309" i="1"/>
  <c r="N309" i="1" s="1"/>
  <c r="H309" i="1"/>
  <c r="J309" i="1" s="1"/>
  <c r="X308" i="1"/>
  <c r="V308" i="1"/>
  <c r="T308" i="1"/>
  <c r="R308" i="1"/>
  <c r="N308" i="1"/>
  <c r="J308" i="1"/>
  <c r="X306" i="1"/>
  <c r="V306" i="1"/>
  <c r="T306" i="1"/>
  <c r="R306" i="1"/>
  <c r="N306" i="1"/>
  <c r="J306" i="1"/>
  <c r="X305" i="1"/>
  <c r="V305" i="1"/>
  <c r="T305" i="1"/>
  <c r="R305" i="1"/>
  <c r="N305" i="1"/>
  <c r="J305" i="1"/>
  <c r="X304" i="1"/>
  <c r="V304" i="1"/>
  <c r="T304" i="1"/>
  <c r="R304" i="1"/>
  <c r="N304" i="1"/>
  <c r="J304" i="1"/>
  <c r="X303" i="1"/>
  <c r="V303" i="1"/>
  <c r="T303" i="1"/>
  <c r="R303" i="1"/>
  <c r="N303" i="1"/>
  <c r="J303" i="1"/>
  <c r="X302" i="1"/>
  <c r="V302" i="1"/>
  <c r="T302" i="1"/>
  <c r="R302" i="1"/>
  <c r="N302" i="1"/>
  <c r="J302" i="1"/>
  <c r="X301" i="1"/>
  <c r="V301" i="1"/>
  <c r="T301" i="1"/>
  <c r="R301" i="1"/>
  <c r="N301" i="1"/>
  <c r="J301" i="1"/>
  <c r="X300" i="1"/>
  <c r="V300" i="1"/>
  <c r="T300" i="1"/>
  <c r="R300" i="1"/>
  <c r="N300" i="1"/>
  <c r="J300" i="1"/>
  <c r="X299" i="1"/>
  <c r="V299" i="1"/>
  <c r="T299" i="1"/>
  <c r="R299" i="1"/>
  <c r="N299" i="1"/>
  <c r="J299" i="1"/>
  <c r="X298" i="1"/>
  <c r="V298" i="1"/>
  <c r="T298" i="1"/>
  <c r="R298" i="1"/>
  <c r="N298" i="1"/>
  <c r="J298" i="1"/>
  <c r="X297" i="1"/>
  <c r="V297" i="1"/>
  <c r="T297" i="1"/>
  <c r="R297" i="1"/>
  <c r="N297" i="1"/>
  <c r="J297" i="1"/>
  <c r="X296" i="1"/>
  <c r="V296" i="1"/>
  <c r="T296" i="1"/>
  <c r="R296" i="1"/>
  <c r="N296" i="1"/>
  <c r="J296" i="1"/>
  <c r="X295" i="1"/>
  <c r="V295" i="1"/>
  <c r="T295" i="1"/>
  <c r="R295" i="1"/>
  <c r="N295" i="1"/>
  <c r="J295" i="1"/>
  <c r="X294" i="1"/>
  <c r="V294" i="1"/>
  <c r="T294" i="1"/>
  <c r="R294" i="1"/>
  <c r="N294" i="1"/>
  <c r="J294" i="1"/>
  <c r="X293" i="1"/>
  <c r="V293" i="1"/>
  <c r="T293" i="1"/>
  <c r="R293" i="1"/>
  <c r="N293" i="1"/>
  <c r="J293" i="1"/>
  <c r="X292" i="1"/>
  <c r="V292" i="1"/>
  <c r="T292" i="1"/>
  <c r="R292" i="1"/>
  <c r="N292" i="1"/>
  <c r="J292" i="1"/>
  <c r="X291" i="1"/>
  <c r="V291" i="1"/>
  <c r="T291" i="1"/>
  <c r="R291" i="1"/>
  <c r="N291" i="1"/>
  <c r="J291" i="1"/>
  <c r="X290" i="1"/>
  <c r="V290" i="1"/>
  <c r="T290" i="1"/>
  <c r="R290" i="1"/>
  <c r="N290" i="1"/>
  <c r="J290" i="1"/>
  <c r="X289" i="1"/>
  <c r="V289" i="1"/>
  <c r="T289" i="1"/>
  <c r="R289" i="1"/>
  <c r="N289" i="1"/>
  <c r="J289" i="1"/>
  <c r="X288" i="1"/>
  <c r="V288" i="1"/>
  <c r="T288" i="1"/>
  <c r="R288" i="1"/>
  <c r="N288" i="1"/>
  <c r="J288" i="1"/>
  <c r="X287" i="1"/>
  <c r="V287" i="1"/>
  <c r="T287" i="1"/>
  <c r="R287" i="1"/>
  <c r="N287" i="1"/>
  <c r="J287" i="1"/>
  <c r="X286" i="1"/>
  <c r="V286" i="1"/>
  <c r="T286" i="1"/>
  <c r="R286" i="1"/>
  <c r="N286" i="1"/>
  <c r="J286" i="1"/>
  <c r="X285" i="1"/>
  <c r="V285" i="1"/>
  <c r="T285" i="1"/>
  <c r="R285" i="1"/>
  <c r="N285" i="1"/>
  <c r="J285" i="1"/>
  <c r="X284" i="1"/>
  <c r="V284" i="1"/>
  <c r="T284" i="1"/>
  <c r="R284" i="1"/>
  <c r="N284" i="1"/>
  <c r="J284" i="1"/>
  <c r="X283" i="1"/>
  <c r="V283" i="1"/>
  <c r="T283" i="1"/>
  <c r="R283" i="1"/>
  <c r="N283" i="1"/>
  <c r="J283" i="1"/>
  <c r="X282" i="1"/>
  <c r="V282" i="1"/>
  <c r="T282" i="1"/>
  <c r="R282" i="1"/>
  <c r="N282" i="1"/>
  <c r="J282" i="1"/>
  <c r="X281" i="1"/>
  <c r="V281" i="1"/>
  <c r="T281" i="1"/>
  <c r="R281" i="1"/>
  <c r="N281" i="1"/>
  <c r="J281" i="1"/>
  <c r="X280" i="1"/>
  <c r="V280" i="1"/>
  <c r="T280" i="1"/>
  <c r="R280" i="1"/>
  <c r="N280" i="1"/>
  <c r="J280" i="1"/>
  <c r="X279" i="1"/>
  <c r="V279" i="1"/>
  <c r="T279" i="1"/>
  <c r="R279" i="1"/>
  <c r="N279" i="1"/>
  <c r="J279" i="1"/>
  <c r="X278" i="1"/>
  <c r="V278" i="1"/>
  <c r="T278" i="1"/>
  <c r="R278" i="1"/>
  <c r="N278" i="1"/>
  <c r="J278" i="1"/>
  <c r="X277" i="1"/>
  <c r="V277" i="1"/>
  <c r="T277" i="1"/>
  <c r="R277" i="1"/>
  <c r="N277" i="1"/>
  <c r="J277" i="1"/>
  <c r="X276" i="1"/>
  <c r="V276" i="1"/>
  <c r="T276" i="1"/>
  <c r="R276" i="1"/>
  <c r="N276" i="1"/>
  <c r="J276" i="1"/>
  <c r="X275" i="1"/>
  <c r="V275" i="1"/>
  <c r="T275" i="1"/>
  <c r="P275" i="1"/>
  <c r="R275" i="1" s="1"/>
  <c r="L275" i="1"/>
  <c r="N275" i="1" s="1"/>
  <c r="H275" i="1"/>
  <c r="J275" i="1" s="1"/>
  <c r="X274" i="1"/>
  <c r="V274" i="1"/>
  <c r="T274" i="1"/>
  <c r="R274" i="1"/>
  <c r="N274" i="1"/>
  <c r="J274" i="1"/>
  <c r="X273" i="1"/>
  <c r="V273" i="1"/>
  <c r="T273" i="1"/>
  <c r="R273" i="1"/>
  <c r="N273" i="1"/>
  <c r="J273" i="1"/>
  <c r="X272" i="1"/>
  <c r="V272" i="1"/>
  <c r="T272" i="1"/>
  <c r="P272" i="1"/>
  <c r="R272" i="1" s="1"/>
  <c r="L272" i="1"/>
  <c r="N272" i="1" s="1"/>
  <c r="H272" i="1"/>
  <c r="J272" i="1" s="1"/>
  <c r="X271" i="1"/>
  <c r="V271" i="1"/>
  <c r="T271" i="1"/>
  <c r="R271" i="1"/>
  <c r="N271" i="1"/>
  <c r="J271" i="1"/>
  <c r="X270" i="1"/>
  <c r="V270" i="1"/>
  <c r="T270" i="1"/>
  <c r="P270" i="1"/>
  <c r="R270" i="1" s="1"/>
  <c r="L270" i="1"/>
  <c r="N270" i="1" s="1"/>
  <c r="H270" i="1"/>
  <c r="J270" i="1" s="1"/>
  <c r="X269" i="1"/>
  <c r="V269" i="1"/>
  <c r="T269" i="1"/>
  <c r="R269" i="1"/>
  <c r="N269" i="1"/>
  <c r="J269" i="1"/>
  <c r="X267" i="1"/>
  <c r="V267" i="1"/>
  <c r="T267" i="1"/>
  <c r="R267" i="1"/>
  <c r="N267" i="1"/>
  <c r="J267" i="1"/>
  <c r="X266" i="1"/>
  <c r="V266" i="1"/>
  <c r="T266" i="1"/>
  <c r="R266" i="1"/>
  <c r="N266" i="1"/>
  <c r="J266" i="1"/>
  <c r="X265" i="1"/>
  <c r="V265" i="1"/>
  <c r="T265" i="1"/>
  <c r="R265" i="1"/>
  <c r="N265" i="1"/>
  <c r="J265" i="1"/>
  <c r="X264" i="1"/>
  <c r="V264" i="1"/>
  <c r="T264" i="1"/>
  <c r="R264" i="1"/>
  <c r="N264" i="1"/>
  <c r="J264" i="1"/>
  <c r="X263" i="1"/>
  <c r="V263" i="1"/>
  <c r="T263" i="1"/>
  <c r="R263" i="1"/>
  <c r="N263" i="1"/>
  <c r="J263" i="1"/>
  <c r="X262" i="1"/>
  <c r="V262" i="1"/>
  <c r="T262" i="1"/>
  <c r="R262" i="1"/>
  <c r="N262" i="1"/>
  <c r="J262" i="1"/>
  <c r="X261" i="1"/>
  <c r="V261" i="1"/>
  <c r="T261" i="1"/>
  <c r="R261" i="1"/>
  <c r="N261" i="1"/>
  <c r="J261" i="1"/>
  <c r="X260" i="1"/>
  <c r="V260" i="1"/>
  <c r="T260" i="1"/>
  <c r="R260" i="1"/>
  <c r="N260" i="1"/>
  <c r="J260" i="1"/>
  <c r="X259" i="1"/>
  <c r="V259" i="1"/>
  <c r="T259" i="1"/>
  <c r="R259" i="1"/>
  <c r="N259" i="1"/>
  <c r="J259" i="1"/>
  <c r="X258" i="1"/>
  <c r="V258" i="1"/>
  <c r="T258" i="1"/>
  <c r="R258" i="1"/>
  <c r="N258" i="1"/>
  <c r="J258" i="1"/>
  <c r="X257" i="1"/>
  <c r="V257" i="1"/>
  <c r="T257" i="1"/>
  <c r="R257" i="1"/>
  <c r="N257" i="1"/>
  <c r="J257" i="1"/>
  <c r="X256" i="1"/>
  <c r="V256" i="1"/>
  <c r="T256" i="1"/>
  <c r="R256" i="1"/>
  <c r="N256" i="1"/>
  <c r="J256" i="1"/>
  <c r="X255" i="1"/>
  <c r="V255" i="1"/>
  <c r="T255" i="1"/>
  <c r="R255" i="1"/>
  <c r="N255" i="1"/>
  <c r="J255" i="1"/>
  <c r="X254" i="1"/>
  <c r="V254" i="1"/>
  <c r="T254" i="1"/>
  <c r="R254" i="1"/>
  <c r="N254" i="1"/>
  <c r="J254" i="1"/>
  <c r="X253" i="1"/>
  <c r="V253" i="1"/>
  <c r="T253" i="1"/>
  <c r="R253" i="1"/>
  <c r="N253" i="1"/>
  <c r="J253" i="1"/>
  <c r="X252" i="1"/>
  <c r="V252" i="1"/>
  <c r="T252" i="1"/>
  <c r="R252" i="1"/>
  <c r="N252" i="1"/>
  <c r="J252" i="1"/>
  <c r="X251" i="1"/>
  <c r="V251" i="1"/>
  <c r="T251" i="1"/>
  <c r="R251" i="1"/>
  <c r="N251" i="1"/>
  <c r="J251" i="1"/>
  <c r="X250" i="1"/>
  <c r="V250" i="1"/>
  <c r="T250" i="1"/>
  <c r="R250" i="1"/>
  <c r="N250" i="1"/>
  <c r="J250" i="1"/>
  <c r="X249" i="1"/>
  <c r="V249" i="1"/>
  <c r="T249" i="1"/>
  <c r="R249" i="1"/>
  <c r="N249" i="1"/>
  <c r="J249" i="1"/>
  <c r="X248" i="1"/>
  <c r="V248" i="1"/>
  <c r="T248" i="1"/>
  <c r="R248" i="1"/>
  <c r="N248" i="1"/>
  <c r="J248" i="1"/>
  <c r="X247" i="1"/>
  <c r="V247" i="1"/>
  <c r="T247" i="1"/>
  <c r="R247" i="1"/>
  <c r="N247" i="1"/>
  <c r="J247" i="1"/>
  <c r="X246" i="1"/>
  <c r="V246" i="1"/>
  <c r="T246" i="1"/>
  <c r="R246" i="1"/>
  <c r="N246" i="1"/>
  <c r="J246" i="1"/>
  <c r="X245" i="1"/>
  <c r="V245" i="1"/>
  <c r="T245" i="1"/>
  <c r="R245" i="1"/>
  <c r="N245" i="1"/>
  <c r="J245" i="1"/>
  <c r="X244" i="1"/>
  <c r="V244" i="1"/>
  <c r="T244" i="1"/>
  <c r="R244" i="1"/>
  <c r="N244" i="1"/>
  <c r="J244" i="1"/>
  <c r="X242" i="1"/>
  <c r="V242" i="1"/>
  <c r="T242" i="1"/>
  <c r="R242" i="1"/>
  <c r="N242" i="1"/>
  <c r="J242" i="1"/>
  <c r="X241" i="1"/>
  <c r="V241" i="1"/>
  <c r="T241" i="1"/>
  <c r="R241" i="1"/>
  <c r="N241" i="1"/>
  <c r="J241" i="1"/>
  <c r="X240" i="1"/>
  <c r="V240" i="1"/>
  <c r="T240" i="1"/>
  <c r="R240" i="1"/>
  <c r="N240" i="1"/>
  <c r="J240" i="1"/>
  <c r="X239" i="1"/>
  <c r="V239" i="1"/>
  <c r="T239" i="1"/>
  <c r="R239" i="1"/>
  <c r="N239" i="1"/>
  <c r="J239" i="1"/>
  <c r="X238" i="1"/>
  <c r="V238" i="1"/>
  <c r="T238" i="1"/>
  <c r="R238" i="1"/>
  <c r="N238" i="1"/>
  <c r="J238" i="1"/>
  <c r="X237" i="1"/>
  <c r="V237" i="1"/>
  <c r="T237" i="1"/>
  <c r="R237" i="1"/>
  <c r="N237" i="1"/>
  <c r="J237" i="1"/>
  <c r="X236" i="1"/>
  <c r="V236" i="1"/>
  <c r="T236" i="1"/>
  <c r="R236" i="1"/>
  <c r="N236" i="1"/>
  <c r="J236" i="1"/>
  <c r="X235" i="1"/>
  <c r="V235" i="1"/>
  <c r="T235" i="1"/>
  <c r="R235" i="1"/>
  <c r="N235" i="1"/>
  <c r="J235" i="1"/>
  <c r="X234" i="1"/>
  <c r="V234" i="1"/>
  <c r="T234" i="1"/>
  <c r="R234" i="1"/>
  <c r="N234" i="1"/>
  <c r="J234" i="1"/>
  <c r="X233" i="1"/>
  <c r="V233" i="1"/>
  <c r="T233" i="1"/>
  <c r="R233" i="1"/>
  <c r="N233" i="1"/>
  <c r="J233" i="1"/>
  <c r="X232" i="1"/>
  <c r="V232" i="1"/>
  <c r="T232" i="1"/>
  <c r="R232" i="1"/>
  <c r="N232" i="1"/>
  <c r="J232" i="1"/>
  <c r="X231" i="1"/>
  <c r="V231" i="1"/>
  <c r="T231" i="1"/>
  <c r="R231" i="1"/>
  <c r="N231" i="1"/>
  <c r="J231" i="1"/>
  <c r="X230" i="1"/>
  <c r="V230" i="1"/>
  <c r="T230" i="1"/>
  <c r="R230" i="1"/>
  <c r="N230" i="1"/>
  <c r="J230" i="1"/>
  <c r="X229" i="1"/>
  <c r="V229" i="1"/>
  <c r="T229" i="1"/>
  <c r="P229" i="1"/>
  <c r="R229" i="1" s="1"/>
  <c r="L229" i="1"/>
  <c r="N229" i="1" s="1"/>
  <c r="H229" i="1"/>
  <c r="J229" i="1" s="1"/>
  <c r="X227" i="1"/>
  <c r="V227" i="1"/>
  <c r="T227" i="1"/>
  <c r="R227" i="1"/>
  <c r="N227" i="1"/>
  <c r="J227" i="1"/>
  <c r="X226" i="1"/>
  <c r="V226" i="1"/>
  <c r="T226" i="1"/>
  <c r="R226" i="1"/>
  <c r="N226" i="1"/>
  <c r="J226" i="1"/>
  <c r="X225" i="1"/>
  <c r="V225" i="1"/>
  <c r="T225" i="1"/>
  <c r="R225" i="1"/>
  <c r="N225" i="1"/>
  <c r="J225" i="1"/>
  <c r="X224" i="1"/>
  <c r="V224" i="1"/>
  <c r="T224" i="1"/>
  <c r="R224" i="1"/>
  <c r="N224" i="1"/>
  <c r="J224" i="1"/>
  <c r="X223" i="1"/>
  <c r="V223" i="1"/>
  <c r="T223" i="1"/>
  <c r="R223" i="1"/>
  <c r="N223" i="1"/>
  <c r="J223" i="1"/>
  <c r="X222" i="1"/>
  <c r="V222" i="1"/>
  <c r="T222" i="1"/>
  <c r="R222" i="1"/>
  <c r="N222" i="1"/>
  <c r="J222" i="1"/>
  <c r="X221" i="1"/>
  <c r="V221" i="1"/>
  <c r="T221" i="1"/>
  <c r="R221" i="1"/>
  <c r="N221" i="1"/>
  <c r="J221" i="1"/>
  <c r="X220" i="1"/>
  <c r="V220" i="1"/>
  <c r="T220" i="1"/>
  <c r="R220" i="1"/>
  <c r="N220" i="1"/>
  <c r="J220" i="1"/>
  <c r="X219" i="1"/>
  <c r="V219" i="1"/>
  <c r="T219" i="1"/>
  <c r="R219" i="1"/>
  <c r="N219" i="1"/>
  <c r="J219" i="1"/>
  <c r="X218" i="1"/>
  <c r="V218" i="1"/>
  <c r="T218" i="1"/>
  <c r="R218" i="1"/>
  <c r="N218" i="1"/>
  <c r="J218" i="1"/>
  <c r="X217" i="1"/>
  <c r="V217" i="1"/>
  <c r="T217" i="1"/>
  <c r="R217" i="1"/>
  <c r="N217" i="1"/>
  <c r="J217" i="1"/>
  <c r="X216" i="1"/>
  <c r="V216" i="1"/>
  <c r="T216" i="1"/>
  <c r="R216" i="1"/>
  <c r="N216" i="1"/>
  <c r="J216" i="1"/>
  <c r="X215" i="1"/>
  <c r="V215" i="1"/>
  <c r="T215" i="1"/>
  <c r="R215" i="1"/>
  <c r="N215" i="1"/>
  <c r="J215" i="1"/>
  <c r="X213" i="1"/>
  <c r="V213" i="1"/>
  <c r="T213" i="1"/>
  <c r="R213" i="1"/>
  <c r="N213" i="1"/>
  <c r="J213" i="1"/>
  <c r="X212" i="1"/>
  <c r="V212" i="1"/>
  <c r="T212" i="1"/>
  <c r="R212" i="1"/>
  <c r="N212" i="1"/>
  <c r="J212" i="1"/>
  <c r="X211" i="1"/>
  <c r="V211" i="1"/>
  <c r="T211" i="1"/>
  <c r="R211" i="1"/>
  <c r="N211" i="1"/>
  <c r="J211" i="1"/>
  <c r="X210" i="1"/>
  <c r="V210" i="1"/>
  <c r="T210" i="1"/>
  <c r="R210" i="1"/>
  <c r="N210" i="1"/>
  <c r="J210" i="1"/>
  <c r="X209" i="1"/>
  <c r="V209" i="1"/>
  <c r="T209" i="1"/>
  <c r="R209" i="1"/>
  <c r="N209" i="1"/>
  <c r="J209" i="1"/>
  <c r="X208" i="1"/>
  <c r="V208" i="1"/>
  <c r="T208" i="1"/>
  <c r="R208" i="1"/>
  <c r="N208" i="1"/>
  <c r="J208" i="1"/>
  <c r="X207" i="1"/>
  <c r="V207" i="1"/>
  <c r="T207" i="1"/>
  <c r="R207" i="1"/>
  <c r="N207" i="1"/>
  <c r="J207" i="1"/>
  <c r="X206" i="1"/>
  <c r="V206" i="1"/>
  <c r="T206" i="1"/>
  <c r="R206" i="1"/>
  <c r="N206" i="1"/>
  <c r="J206" i="1"/>
  <c r="X205" i="1"/>
  <c r="V205" i="1"/>
  <c r="T205" i="1"/>
  <c r="R205" i="1"/>
  <c r="N205" i="1"/>
  <c r="J205" i="1"/>
  <c r="X204" i="1"/>
  <c r="V204" i="1"/>
  <c r="T204" i="1"/>
  <c r="R204" i="1"/>
  <c r="N204" i="1"/>
  <c r="J204" i="1"/>
  <c r="X203" i="1"/>
  <c r="V203" i="1"/>
  <c r="T203" i="1"/>
  <c r="R203" i="1"/>
  <c r="N203" i="1"/>
  <c r="J203" i="1"/>
  <c r="X202" i="1"/>
  <c r="V202" i="1"/>
  <c r="T202" i="1"/>
  <c r="R202" i="1"/>
  <c r="N202" i="1"/>
  <c r="J202" i="1"/>
  <c r="X201" i="1"/>
  <c r="V201" i="1"/>
  <c r="T201" i="1"/>
  <c r="R201" i="1"/>
  <c r="N201" i="1"/>
  <c r="J201" i="1"/>
  <c r="X200" i="1"/>
  <c r="V200" i="1"/>
  <c r="T200" i="1"/>
  <c r="R200" i="1"/>
  <c r="N200" i="1"/>
  <c r="J200" i="1"/>
  <c r="X199" i="1"/>
  <c r="V199" i="1"/>
  <c r="T199" i="1"/>
  <c r="R199" i="1"/>
  <c r="O199" i="1"/>
  <c r="N199" i="1"/>
  <c r="K199" i="1"/>
  <c r="J199" i="1"/>
  <c r="G199" i="1"/>
  <c r="X198" i="1"/>
  <c r="V198" i="1"/>
  <c r="T198" i="1"/>
  <c r="O198" i="1"/>
  <c r="O375" i="1" s="1"/>
  <c r="K198" i="1"/>
  <c r="N198" i="1" s="1"/>
  <c r="J198" i="1"/>
  <c r="G198" i="1"/>
  <c r="G375" i="1" s="1"/>
  <c r="X197" i="1"/>
  <c r="V197" i="1"/>
  <c r="T197" i="1"/>
  <c r="R197" i="1"/>
  <c r="N197" i="1"/>
  <c r="J197" i="1"/>
  <c r="X196" i="1"/>
  <c r="V196" i="1"/>
  <c r="T196" i="1"/>
  <c r="R196" i="1"/>
  <c r="N196" i="1"/>
  <c r="J196" i="1"/>
  <c r="X195" i="1"/>
  <c r="V195" i="1"/>
  <c r="T195" i="1"/>
  <c r="R195" i="1"/>
  <c r="N195" i="1"/>
  <c r="J195" i="1"/>
  <c r="X194" i="1"/>
  <c r="V194" i="1"/>
  <c r="T194" i="1"/>
  <c r="P194" i="1"/>
  <c r="R194" i="1" s="1"/>
  <c r="L194" i="1"/>
  <c r="N194" i="1" s="1"/>
  <c r="H194" i="1"/>
  <c r="J194" i="1" s="1"/>
  <c r="X193" i="1"/>
  <c r="V193" i="1"/>
  <c r="T193" i="1"/>
  <c r="R193" i="1"/>
  <c r="N193" i="1"/>
  <c r="J193" i="1"/>
  <c r="X192" i="1"/>
  <c r="V192" i="1"/>
  <c r="T192" i="1"/>
  <c r="R192" i="1"/>
  <c r="N192" i="1"/>
  <c r="J192" i="1"/>
  <c r="X191" i="1"/>
  <c r="V191" i="1"/>
  <c r="T191" i="1"/>
  <c r="R191" i="1"/>
  <c r="N191" i="1"/>
  <c r="J191" i="1"/>
  <c r="X190" i="1"/>
  <c r="V190" i="1"/>
  <c r="T190" i="1"/>
  <c r="R190" i="1"/>
  <c r="N190" i="1"/>
  <c r="J190" i="1"/>
  <c r="X189" i="1"/>
  <c r="V189" i="1"/>
  <c r="T189" i="1"/>
  <c r="R189" i="1"/>
  <c r="N189" i="1"/>
  <c r="J189" i="1"/>
  <c r="X188" i="1"/>
  <c r="V188" i="1"/>
  <c r="T188" i="1"/>
  <c r="R188" i="1"/>
  <c r="N188" i="1"/>
  <c r="J188" i="1"/>
  <c r="X187" i="1"/>
  <c r="V187" i="1"/>
  <c r="T187" i="1"/>
  <c r="R187" i="1"/>
  <c r="N187" i="1"/>
  <c r="J187" i="1"/>
  <c r="X185" i="1"/>
  <c r="V185" i="1"/>
  <c r="T185" i="1"/>
  <c r="R185" i="1"/>
  <c r="N185" i="1"/>
  <c r="J185" i="1"/>
  <c r="X184" i="1"/>
  <c r="V184" i="1"/>
  <c r="T184" i="1"/>
  <c r="R184" i="1"/>
  <c r="N184" i="1"/>
  <c r="J184" i="1"/>
  <c r="X183" i="1"/>
  <c r="V183" i="1"/>
  <c r="T183" i="1"/>
  <c r="R183" i="1"/>
  <c r="N183" i="1"/>
  <c r="J183" i="1"/>
  <c r="X182" i="1"/>
  <c r="V182" i="1"/>
  <c r="T182" i="1"/>
  <c r="R182" i="1"/>
  <c r="N182" i="1"/>
  <c r="J182" i="1"/>
  <c r="X181" i="1"/>
  <c r="V181" i="1"/>
  <c r="T181" i="1"/>
  <c r="R181" i="1"/>
  <c r="N181" i="1"/>
  <c r="J181" i="1"/>
  <c r="X180" i="1"/>
  <c r="V180" i="1"/>
  <c r="T180" i="1"/>
  <c r="P180" i="1"/>
  <c r="R180" i="1" s="1"/>
  <c r="L180" i="1"/>
  <c r="N180" i="1" s="1"/>
  <c r="H180" i="1"/>
  <c r="J180" i="1" s="1"/>
  <c r="X179" i="1"/>
  <c r="V179" i="1"/>
  <c r="T179" i="1"/>
  <c r="R179" i="1"/>
  <c r="N179" i="1"/>
  <c r="J179" i="1"/>
  <c r="X178" i="1"/>
  <c r="V178" i="1"/>
  <c r="T178" i="1"/>
  <c r="R178" i="1"/>
  <c r="N178" i="1"/>
  <c r="J178" i="1"/>
  <c r="X177" i="1"/>
  <c r="V177" i="1"/>
  <c r="T177" i="1"/>
  <c r="R177" i="1"/>
  <c r="N177" i="1"/>
  <c r="J177" i="1"/>
  <c r="X176" i="1"/>
  <c r="V176" i="1"/>
  <c r="T176" i="1"/>
  <c r="R176" i="1"/>
  <c r="N176" i="1"/>
  <c r="J176" i="1"/>
  <c r="X175" i="1"/>
  <c r="V175" i="1"/>
  <c r="T175" i="1"/>
  <c r="R175" i="1"/>
  <c r="N175" i="1"/>
  <c r="J175" i="1"/>
  <c r="X173" i="1"/>
  <c r="V173" i="1"/>
  <c r="T173" i="1"/>
  <c r="R173" i="1"/>
  <c r="N173" i="1"/>
  <c r="J173" i="1"/>
  <c r="X172" i="1"/>
  <c r="V172" i="1"/>
  <c r="T172" i="1"/>
  <c r="R172" i="1"/>
  <c r="N172" i="1"/>
  <c r="J172" i="1"/>
  <c r="X171" i="1"/>
  <c r="V171" i="1"/>
  <c r="T171" i="1"/>
  <c r="R171" i="1"/>
  <c r="N171" i="1"/>
  <c r="J171" i="1"/>
  <c r="X170" i="1"/>
  <c r="V170" i="1"/>
  <c r="T170" i="1"/>
  <c r="R170" i="1"/>
  <c r="N170" i="1"/>
  <c r="J170" i="1"/>
  <c r="X169" i="1"/>
  <c r="V169" i="1"/>
  <c r="T169" i="1"/>
  <c r="R169" i="1"/>
  <c r="N169" i="1"/>
  <c r="J169" i="1"/>
  <c r="X168" i="1"/>
  <c r="V168" i="1"/>
  <c r="T168" i="1"/>
  <c r="R168" i="1"/>
  <c r="N168" i="1"/>
  <c r="J168" i="1"/>
  <c r="X167" i="1"/>
  <c r="V167" i="1"/>
  <c r="T167" i="1"/>
  <c r="R167" i="1"/>
  <c r="N167" i="1"/>
  <c r="J167" i="1"/>
  <c r="X166" i="1"/>
  <c r="V166" i="1"/>
  <c r="T166" i="1"/>
  <c r="R166" i="1"/>
  <c r="N166" i="1"/>
  <c r="J166" i="1"/>
  <c r="X165" i="1"/>
  <c r="V165" i="1"/>
  <c r="T165" i="1"/>
  <c r="L165" i="1"/>
  <c r="H165" i="1"/>
  <c r="J165" i="1" s="1"/>
  <c r="X164" i="1"/>
  <c r="V164" i="1"/>
  <c r="T164" i="1"/>
  <c r="R164" i="1"/>
  <c r="N164" i="1"/>
  <c r="J164" i="1"/>
  <c r="X163" i="1"/>
  <c r="V163" i="1"/>
  <c r="T163" i="1"/>
  <c r="R163" i="1"/>
  <c r="N163" i="1"/>
  <c r="J163" i="1"/>
  <c r="X162" i="1"/>
  <c r="V162" i="1"/>
  <c r="T162" i="1"/>
  <c r="R162" i="1"/>
  <c r="N162" i="1"/>
  <c r="J162" i="1"/>
  <c r="X161" i="1"/>
  <c r="V161" i="1"/>
  <c r="T161" i="1"/>
  <c r="R161" i="1"/>
  <c r="N161" i="1"/>
  <c r="J161" i="1"/>
  <c r="X160" i="1"/>
  <c r="V160" i="1"/>
  <c r="T160" i="1"/>
  <c r="R160" i="1"/>
  <c r="N160" i="1"/>
  <c r="J160" i="1"/>
  <c r="X158" i="1"/>
  <c r="V158" i="1"/>
  <c r="T158" i="1"/>
  <c r="R158" i="1"/>
  <c r="N158" i="1"/>
  <c r="J158" i="1"/>
  <c r="X157" i="1"/>
  <c r="V157" i="1"/>
  <c r="T157" i="1"/>
  <c r="R157" i="1"/>
  <c r="N157" i="1"/>
  <c r="J157" i="1"/>
  <c r="X156" i="1"/>
  <c r="V156" i="1"/>
  <c r="T156" i="1"/>
  <c r="R156" i="1"/>
  <c r="N156" i="1"/>
  <c r="J156" i="1"/>
  <c r="X155" i="1"/>
  <c r="V155" i="1"/>
  <c r="T155" i="1"/>
  <c r="R155" i="1"/>
  <c r="N155" i="1"/>
  <c r="J155" i="1"/>
  <c r="X154" i="1"/>
  <c r="V154" i="1"/>
  <c r="T154" i="1"/>
  <c r="R154" i="1"/>
  <c r="N154" i="1"/>
  <c r="J154" i="1"/>
  <c r="X153" i="1"/>
  <c r="V153" i="1"/>
  <c r="T153" i="1"/>
  <c r="R153" i="1"/>
  <c r="N153" i="1"/>
  <c r="J153" i="1"/>
  <c r="X152" i="1"/>
  <c r="V152" i="1"/>
  <c r="T152" i="1"/>
  <c r="R152" i="1"/>
  <c r="N152" i="1"/>
  <c r="J152" i="1"/>
  <c r="X151" i="1"/>
  <c r="V151" i="1"/>
  <c r="T151" i="1"/>
  <c r="R151" i="1"/>
  <c r="N151" i="1"/>
  <c r="J151" i="1"/>
  <c r="X150" i="1"/>
  <c r="V150" i="1"/>
  <c r="T150" i="1"/>
  <c r="R150" i="1"/>
  <c r="N150" i="1"/>
  <c r="J150" i="1"/>
  <c r="X149" i="1"/>
  <c r="V149" i="1"/>
  <c r="T149" i="1"/>
  <c r="R149" i="1"/>
  <c r="N149" i="1"/>
  <c r="J149" i="1"/>
  <c r="X148" i="1"/>
  <c r="V148" i="1"/>
  <c r="T148" i="1"/>
  <c r="R148" i="1"/>
  <c r="N148" i="1"/>
  <c r="J148" i="1"/>
  <c r="X146" i="1"/>
  <c r="V146" i="1"/>
  <c r="T146" i="1"/>
  <c r="R146" i="1"/>
  <c r="N146" i="1"/>
  <c r="J146" i="1"/>
  <c r="X145" i="1"/>
  <c r="V145" i="1"/>
  <c r="T145" i="1"/>
  <c r="R145" i="1"/>
  <c r="N145" i="1"/>
  <c r="J145" i="1"/>
  <c r="X144" i="1"/>
  <c r="V144" i="1"/>
  <c r="T144" i="1"/>
  <c r="R144" i="1"/>
  <c r="N144" i="1"/>
  <c r="J144" i="1"/>
  <c r="X143" i="1"/>
  <c r="V143" i="1"/>
  <c r="T143" i="1"/>
  <c r="R143" i="1"/>
  <c r="N143" i="1"/>
  <c r="J143" i="1"/>
  <c r="X142" i="1"/>
  <c r="V142" i="1"/>
  <c r="T142" i="1"/>
  <c r="R142" i="1"/>
  <c r="N142" i="1"/>
  <c r="J142" i="1"/>
  <c r="X141" i="1"/>
  <c r="V141" i="1"/>
  <c r="T141" i="1"/>
  <c r="R141" i="1"/>
  <c r="N141" i="1"/>
  <c r="J141" i="1"/>
  <c r="X140" i="1"/>
  <c r="V140" i="1"/>
  <c r="T140" i="1"/>
  <c r="R140" i="1"/>
  <c r="N140" i="1"/>
  <c r="J140" i="1"/>
  <c r="X139" i="1"/>
  <c r="V139" i="1"/>
  <c r="T139" i="1"/>
  <c r="R139" i="1"/>
  <c r="N139" i="1"/>
  <c r="J139" i="1"/>
  <c r="X138" i="1"/>
  <c r="V138" i="1"/>
  <c r="T138" i="1"/>
  <c r="R138" i="1"/>
  <c r="N138" i="1"/>
  <c r="J138" i="1"/>
  <c r="X137" i="1"/>
  <c r="V137" i="1"/>
  <c r="T137" i="1"/>
  <c r="R137" i="1"/>
  <c r="N137" i="1"/>
  <c r="J137" i="1"/>
  <c r="X136" i="1"/>
  <c r="V136" i="1"/>
  <c r="T136" i="1"/>
  <c r="P136" i="1"/>
  <c r="R136" i="1" s="1"/>
  <c r="L136" i="1"/>
  <c r="N136" i="1" s="1"/>
  <c r="H136" i="1"/>
  <c r="J136" i="1" s="1"/>
  <c r="X135" i="1"/>
  <c r="V135" i="1"/>
  <c r="T135" i="1"/>
  <c r="R135" i="1"/>
  <c r="N135" i="1"/>
  <c r="J135" i="1"/>
  <c r="X134" i="1"/>
  <c r="V134" i="1"/>
  <c r="T134" i="1"/>
  <c r="R134" i="1"/>
  <c r="N134" i="1"/>
  <c r="J134" i="1"/>
  <c r="X133" i="1"/>
  <c r="V133" i="1"/>
  <c r="T133" i="1"/>
  <c r="R133" i="1"/>
  <c r="N133" i="1"/>
  <c r="J133" i="1"/>
  <c r="X131" i="1"/>
  <c r="V131" i="1"/>
  <c r="T131" i="1"/>
  <c r="R131" i="1"/>
  <c r="N131" i="1"/>
  <c r="J131" i="1"/>
  <c r="X130" i="1"/>
  <c r="V130" i="1"/>
  <c r="T130" i="1"/>
  <c r="R130" i="1"/>
  <c r="N130" i="1"/>
  <c r="J130" i="1"/>
  <c r="X129" i="1"/>
  <c r="V129" i="1"/>
  <c r="T129" i="1"/>
  <c r="R129" i="1"/>
  <c r="N129" i="1"/>
  <c r="J129" i="1"/>
  <c r="X128" i="1"/>
  <c r="V128" i="1"/>
  <c r="T128" i="1"/>
  <c r="R128" i="1"/>
  <c r="N128" i="1"/>
  <c r="J128" i="1"/>
  <c r="X127" i="1"/>
  <c r="V127" i="1"/>
  <c r="T127" i="1"/>
  <c r="R127" i="1"/>
  <c r="N127" i="1"/>
  <c r="J127" i="1"/>
  <c r="X126" i="1"/>
  <c r="V126" i="1"/>
  <c r="T126" i="1"/>
  <c r="R126" i="1"/>
  <c r="N126" i="1"/>
  <c r="J126" i="1"/>
  <c r="X125" i="1"/>
  <c r="V125" i="1"/>
  <c r="T125" i="1"/>
  <c r="R125" i="1"/>
  <c r="N125" i="1"/>
  <c r="J125" i="1"/>
  <c r="X124" i="1"/>
  <c r="V124" i="1"/>
  <c r="T124" i="1"/>
  <c r="R124" i="1"/>
  <c r="N124" i="1"/>
  <c r="J124" i="1"/>
  <c r="X123" i="1"/>
  <c r="V123" i="1"/>
  <c r="T123" i="1"/>
  <c r="R123" i="1"/>
  <c r="N123" i="1"/>
  <c r="J123" i="1"/>
  <c r="X122" i="1"/>
  <c r="V122" i="1"/>
  <c r="T122" i="1"/>
  <c r="R122" i="1"/>
  <c r="N122" i="1"/>
  <c r="J122" i="1"/>
  <c r="X121" i="1"/>
  <c r="V121" i="1"/>
  <c r="T121" i="1"/>
  <c r="R121" i="1"/>
  <c r="N121" i="1"/>
  <c r="J121" i="1"/>
  <c r="X120" i="1"/>
  <c r="V120" i="1"/>
  <c r="T120" i="1"/>
  <c r="R120" i="1"/>
  <c r="N120" i="1"/>
  <c r="J120" i="1"/>
  <c r="X119" i="1"/>
  <c r="V119" i="1"/>
  <c r="T119" i="1"/>
  <c r="R119" i="1"/>
  <c r="N119" i="1"/>
  <c r="J119" i="1"/>
  <c r="X118" i="1"/>
  <c r="V118" i="1"/>
  <c r="T118" i="1"/>
  <c r="R118" i="1"/>
  <c r="N118" i="1"/>
  <c r="J118" i="1"/>
  <c r="X117" i="1"/>
  <c r="V117" i="1"/>
  <c r="T117" i="1"/>
  <c r="R117" i="1"/>
  <c r="N117" i="1"/>
  <c r="J117" i="1"/>
  <c r="X116" i="1"/>
  <c r="V116" i="1"/>
  <c r="T116" i="1"/>
  <c r="R116" i="1"/>
  <c r="N116" i="1"/>
  <c r="J116" i="1"/>
  <c r="X115" i="1"/>
  <c r="V115" i="1"/>
  <c r="T115" i="1"/>
  <c r="P115" i="1"/>
  <c r="R115" i="1" s="1"/>
  <c r="L115" i="1"/>
  <c r="N115" i="1" s="1"/>
  <c r="H115" i="1"/>
  <c r="J115" i="1" s="1"/>
  <c r="X113" i="1"/>
  <c r="V113" i="1"/>
  <c r="T113" i="1"/>
  <c r="R113" i="1"/>
  <c r="N113" i="1"/>
  <c r="J113" i="1"/>
  <c r="X112" i="1"/>
  <c r="V112" i="1"/>
  <c r="T112" i="1"/>
  <c r="R112" i="1"/>
  <c r="N112" i="1"/>
  <c r="J112" i="1"/>
  <c r="X111" i="1"/>
  <c r="V111" i="1"/>
  <c r="T111" i="1"/>
  <c r="R111" i="1"/>
  <c r="N111" i="1"/>
  <c r="J111" i="1"/>
  <c r="X110" i="1"/>
  <c r="V110" i="1"/>
  <c r="T110" i="1"/>
  <c r="R110" i="1"/>
  <c r="N110" i="1"/>
  <c r="J110" i="1"/>
  <c r="X109" i="1"/>
  <c r="V109" i="1"/>
  <c r="T109" i="1"/>
  <c r="R109" i="1"/>
  <c r="N109" i="1"/>
  <c r="J109" i="1"/>
  <c r="X108" i="1"/>
  <c r="V108" i="1"/>
  <c r="T108" i="1"/>
  <c r="R108" i="1"/>
  <c r="N108" i="1"/>
  <c r="J108" i="1"/>
  <c r="X107" i="1"/>
  <c r="V107" i="1"/>
  <c r="T107" i="1"/>
  <c r="R107" i="1"/>
  <c r="N107" i="1"/>
  <c r="J107" i="1"/>
  <c r="X106" i="1"/>
  <c r="V106" i="1"/>
  <c r="T106" i="1"/>
  <c r="R106" i="1"/>
  <c r="N106" i="1"/>
  <c r="J106" i="1"/>
  <c r="X105" i="1"/>
  <c r="V105" i="1"/>
  <c r="T105" i="1"/>
  <c r="R105" i="1"/>
  <c r="N105" i="1"/>
  <c r="J105" i="1"/>
  <c r="X104" i="1"/>
  <c r="V104" i="1"/>
  <c r="T104" i="1"/>
  <c r="R104" i="1"/>
  <c r="N104" i="1"/>
  <c r="J104" i="1"/>
  <c r="X103" i="1"/>
  <c r="V103" i="1"/>
  <c r="T103" i="1"/>
  <c r="R103" i="1"/>
  <c r="N103" i="1"/>
  <c r="J103" i="1"/>
  <c r="X102" i="1"/>
  <c r="V102" i="1"/>
  <c r="T102" i="1"/>
  <c r="R102" i="1"/>
  <c r="N102" i="1"/>
  <c r="J102" i="1"/>
  <c r="X101" i="1"/>
  <c r="V101" i="1"/>
  <c r="T101" i="1"/>
  <c r="R101" i="1"/>
  <c r="N101" i="1"/>
  <c r="J101" i="1"/>
  <c r="X100" i="1"/>
  <c r="V100" i="1"/>
  <c r="T100" i="1"/>
  <c r="R100" i="1"/>
  <c r="N100" i="1"/>
  <c r="J100" i="1"/>
  <c r="X99" i="1"/>
  <c r="V99" i="1"/>
  <c r="T99" i="1"/>
  <c r="R99" i="1"/>
  <c r="N99" i="1"/>
  <c r="J99" i="1"/>
  <c r="X98" i="1"/>
  <c r="V98" i="1"/>
  <c r="T98" i="1"/>
  <c r="R98" i="1"/>
  <c r="N98" i="1"/>
  <c r="J98" i="1"/>
  <c r="X97" i="1"/>
  <c r="V97" i="1"/>
  <c r="T97" i="1"/>
  <c r="R97" i="1"/>
  <c r="N97" i="1"/>
  <c r="J97" i="1"/>
  <c r="X96" i="1"/>
  <c r="V96" i="1"/>
  <c r="T96" i="1"/>
  <c r="R96" i="1"/>
  <c r="N96" i="1"/>
  <c r="J96" i="1"/>
  <c r="X95" i="1"/>
  <c r="V95" i="1"/>
  <c r="T95" i="1"/>
  <c r="R95" i="1"/>
  <c r="N95" i="1"/>
  <c r="J95" i="1"/>
  <c r="X94" i="1"/>
  <c r="V94" i="1"/>
  <c r="T94" i="1"/>
  <c r="R94" i="1"/>
  <c r="N94" i="1"/>
  <c r="J94" i="1"/>
  <c r="X93" i="1"/>
  <c r="V93" i="1"/>
  <c r="T93" i="1"/>
  <c r="R93" i="1"/>
  <c r="N93" i="1"/>
  <c r="J93" i="1"/>
  <c r="X92" i="1"/>
  <c r="V92" i="1"/>
  <c r="T92" i="1"/>
  <c r="R92" i="1"/>
  <c r="N92" i="1"/>
  <c r="J92" i="1"/>
  <c r="X91" i="1"/>
  <c r="V91" i="1"/>
  <c r="T91" i="1"/>
  <c r="R91" i="1"/>
  <c r="N91" i="1"/>
  <c r="J91" i="1"/>
  <c r="X90" i="1"/>
  <c r="V90" i="1"/>
  <c r="T90" i="1"/>
  <c r="R90" i="1"/>
  <c r="N90" i="1"/>
  <c r="J90" i="1"/>
  <c r="X89" i="1"/>
  <c r="V89" i="1"/>
  <c r="T89" i="1"/>
  <c r="R89" i="1"/>
  <c r="N89" i="1"/>
  <c r="J89" i="1"/>
  <c r="X88" i="1"/>
  <c r="V88" i="1"/>
  <c r="T88" i="1"/>
  <c r="L88" i="1"/>
  <c r="P88" i="1" s="1"/>
  <c r="R88" i="1" s="1"/>
  <c r="H88" i="1"/>
  <c r="X86" i="1"/>
  <c r="V86" i="1"/>
  <c r="T86" i="1"/>
  <c r="R86" i="1"/>
  <c r="N86" i="1"/>
  <c r="J86" i="1"/>
  <c r="X85" i="1"/>
  <c r="V85" i="1"/>
  <c r="T85" i="1"/>
  <c r="R85" i="1"/>
  <c r="N85" i="1"/>
  <c r="J85" i="1"/>
  <c r="X84" i="1"/>
  <c r="V84" i="1"/>
  <c r="T84" i="1"/>
  <c r="R84" i="1"/>
  <c r="N84" i="1"/>
  <c r="J84" i="1"/>
  <c r="X83" i="1"/>
  <c r="V83" i="1"/>
  <c r="T83" i="1"/>
  <c r="R83" i="1"/>
  <c r="N83" i="1"/>
  <c r="J83" i="1"/>
  <c r="X82" i="1"/>
  <c r="V82" i="1"/>
  <c r="T82" i="1"/>
  <c r="R82" i="1"/>
  <c r="N82" i="1"/>
  <c r="J82" i="1"/>
  <c r="X81" i="1"/>
  <c r="V81" i="1"/>
  <c r="T81" i="1"/>
  <c r="R81" i="1"/>
  <c r="N81" i="1"/>
  <c r="J81" i="1"/>
  <c r="X80" i="1"/>
  <c r="V80" i="1"/>
  <c r="T80" i="1"/>
  <c r="R80" i="1"/>
  <c r="N80" i="1"/>
  <c r="J80" i="1"/>
  <c r="X79" i="1"/>
  <c r="V79" i="1"/>
  <c r="T79" i="1"/>
  <c r="R79" i="1"/>
  <c r="N79" i="1"/>
  <c r="J79" i="1"/>
  <c r="X78" i="1"/>
  <c r="V78" i="1"/>
  <c r="T78" i="1"/>
  <c r="R78" i="1"/>
  <c r="N78" i="1"/>
  <c r="J78" i="1"/>
  <c r="X77" i="1"/>
  <c r="V77" i="1"/>
  <c r="T77" i="1"/>
  <c r="R77" i="1"/>
  <c r="N77" i="1"/>
  <c r="J77" i="1"/>
  <c r="X76" i="1"/>
  <c r="V76" i="1"/>
  <c r="T76" i="1"/>
  <c r="R76" i="1"/>
  <c r="N76" i="1"/>
  <c r="J76" i="1"/>
  <c r="X75" i="1"/>
  <c r="V75" i="1"/>
  <c r="T75" i="1"/>
  <c r="R75" i="1"/>
  <c r="N75" i="1"/>
  <c r="J75" i="1"/>
  <c r="X74" i="1"/>
  <c r="V74" i="1"/>
  <c r="T74" i="1"/>
  <c r="R74" i="1"/>
  <c r="N74" i="1"/>
  <c r="J74" i="1"/>
  <c r="X73" i="1"/>
  <c r="V73" i="1"/>
  <c r="T73" i="1"/>
  <c r="R73" i="1"/>
  <c r="N73" i="1"/>
  <c r="J73" i="1"/>
  <c r="X72" i="1"/>
  <c r="V72" i="1"/>
  <c r="T72" i="1"/>
  <c r="R72" i="1"/>
  <c r="N72" i="1"/>
  <c r="J72" i="1"/>
  <c r="X71" i="1"/>
  <c r="V71" i="1"/>
  <c r="T71" i="1"/>
  <c r="R71" i="1"/>
  <c r="N71" i="1"/>
  <c r="J71" i="1"/>
  <c r="X70" i="1"/>
  <c r="V70" i="1"/>
  <c r="T70" i="1"/>
  <c r="R70" i="1"/>
  <c r="N70" i="1"/>
  <c r="J70" i="1"/>
  <c r="X69" i="1"/>
  <c r="V69" i="1"/>
  <c r="T69" i="1"/>
  <c r="R69" i="1"/>
  <c r="N69" i="1"/>
  <c r="J69" i="1"/>
  <c r="X68" i="1"/>
  <c r="V68" i="1"/>
  <c r="T68" i="1"/>
  <c r="R68" i="1"/>
  <c r="N68" i="1"/>
  <c r="J68" i="1"/>
  <c r="X67" i="1"/>
  <c r="V67" i="1"/>
  <c r="T67" i="1"/>
  <c r="R67" i="1"/>
  <c r="N67" i="1"/>
  <c r="J67" i="1"/>
  <c r="X66" i="1"/>
  <c r="V66" i="1"/>
  <c r="T66" i="1"/>
  <c r="R66" i="1"/>
  <c r="N66" i="1"/>
  <c r="J66" i="1"/>
  <c r="X65" i="1"/>
  <c r="V65" i="1"/>
  <c r="T65" i="1"/>
  <c r="R65" i="1"/>
  <c r="N65" i="1"/>
  <c r="J65" i="1"/>
  <c r="X64" i="1"/>
  <c r="V64" i="1"/>
  <c r="T64" i="1"/>
  <c r="R64" i="1"/>
  <c r="N64" i="1"/>
  <c r="J64" i="1"/>
  <c r="X63" i="1"/>
  <c r="V63" i="1"/>
  <c r="T63" i="1"/>
  <c r="R63" i="1"/>
  <c r="N63" i="1"/>
  <c r="J63" i="1"/>
  <c r="X62" i="1"/>
  <c r="V62" i="1"/>
  <c r="T62" i="1"/>
  <c r="R62" i="1"/>
  <c r="N62" i="1"/>
  <c r="J62" i="1"/>
  <c r="X61" i="1"/>
  <c r="V61" i="1"/>
  <c r="T61" i="1"/>
  <c r="R61" i="1"/>
  <c r="N61" i="1"/>
  <c r="J61" i="1"/>
  <c r="X60" i="1"/>
  <c r="V60" i="1"/>
  <c r="T60" i="1"/>
  <c r="L60" i="1"/>
  <c r="J60" i="1"/>
  <c r="X59" i="1"/>
  <c r="V59" i="1"/>
  <c r="T59" i="1"/>
  <c r="R59" i="1"/>
  <c r="N59" i="1"/>
  <c r="J59" i="1"/>
  <c r="X58" i="1"/>
  <c r="V58" i="1"/>
  <c r="T58" i="1"/>
  <c r="R58" i="1"/>
  <c r="N58" i="1"/>
  <c r="J58" i="1"/>
  <c r="X56" i="1"/>
  <c r="V56" i="1"/>
  <c r="T56" i="1"/>
  <c r="R56" i="1"/>
  <c r="N56" i="1"/>
  <c r="J56" i="1"/>
  <c r="X55" i="1"/>
  <c r="V55" i="1"/>
  <c r="T55" i="1"/>
  <c r="R55" i="1"/>
  <c r="N55" i="1"/>
  <c r="J55" i="1"/>
  <c r="X54" i="1"/>
  <c r="V54" i="1"/>
  <c r="T54" i="1"/>
  <c r="R54" i="1"/>
  <c r="N54" i="1"/>
  <c r="J54" i="1"/>
  <c r="X53" i="1"/>
  <c r="V53" i="1"/>
  <c r="T53" i="1"/>
  <c r="R53" i="1"/>
  <c r="N53" i="1"/>
  <c r="J53" i="1"/>
  <c r="X52" i="1"/>
  <c r="V52" i="1"/>
  <c r="T52" i="1"/>
  <c r="R52" i="1"/>
  <c r="N52" i="1"/>
  <c r="J52" i="1"/>
  <c r="X51" i="1"/>
  <c r="V51" i="1"/>
  <c r="T51" i="1"/>
  <c r="R51" i="1"/>
  <c r="N51" i="1"/>
  <c r="J51" i="1"/>
  <c r="X50" i="1"/>
  <c r="V50" i="1"/>
  <c r="T50" i="1"/>
  <c r="R50" i="1"/>
  <c r="N50" i="1"/>
  <c r="J50" i="1"/>
  <c r="X49" i="1"/>
  <c r="V49" i="1"/>
  <c r="T49" i="1"/>
  <c r="R49" i="1"/>
  <c r="N49" i="1"/>
  <c r="J49" i="1"/>
  <c r="X48" i="1"/>
  <c r="V48" i="1"/>
  <c r="T48" i="1"/>
  <c r="R48" i="1"/>
  <c r="N48" i="1"/>
  <c r="J48" i="1"/>
  <c r="X47" i="1"/>
  <c r="V47" i="1"/>
  <c r="T47" i="1"/>
  <c r="N47" i="1"/>
  <c r="J47" i="1"/>
  <c r="X46" i="1"/>
  <c r="V46" i="1"/>
  <c r="T46" i="1"/>
  <c r="R46" i="1"/>
  <c r="N46" i="1"/>
  <c r="J46" i="1"/>
  <c r="X45" i="1"/>
  <c r="V45" i="1"/>
  <c r="T45" i="1"/>
  <c r="R45" i="1"/>
  <c r="N45" i="1"/>
  <c r="J45" i="1"/>
  <c r="X44" i="1"/>
  <c r="V44" i="1"/>
  <c r="T44" i="1"/>
  <c r="R44" i="1"/>
  <c r="N44" i="1"/>
  <c r="J44" i="1"/>
  <c r="X43" i="1"/>
  <c r="V43" i="1"/>
  <c r="T43" i="1"/>
  <c r="R43" i="1"/>
  <c r="N43" i="1"/>
  <c r="J43" i="1"/>
  <c r="X42" i="1"/>
  <c r="V42" i="1"/>
  <c r="T42" i="1"/>
  <c r="R42" i="1"/>
  <c r="N42" i="1"/>
  <c r="J42" i="1"/>
  <c r="X41" i="1"/>
  <c r="V41" i="1"/>
  <c r="T41" i="1"/>
  <c r="R41" i="1"/>
  <c r="N41" i="1"/>
  <c r="J41" i="1"/>
  <c r="X40" i="1"/>
  <c r="V40" i="1"/>
  <c r="T40" i="1"/>
  <c r="R40" i="1"/>
  <c r="N40" i="1"/>
  <c r="J40" i="1"/>
  <c r="X39" i="1"/>
  <c r="V39" i="1"/>
  <c r="T39" i="1"/>
  <c r="R39" i="1"/>
  <c r="N39" i="1"/>
  <c r="J39" i="1"/>
  <c r="X38" i="1"/>
  <c r="V38" i="1"/>
  <c r="T38" i="1"/>
  <c r="R38" i="1"/>
  <c r="N38" i="1"/>
  <c r="J38" i="1"/>
  <c r="X37" i="1"/>
  <c r="V37" i="1"/>
  <c r="T37" i="1"/>
  <c r="R37" i="1"/>
  <c r="N37" i="1"/>
  <c r="J37" i="1"/>
  <c r="X36" i="1"/>
  <c r="V36" i="1"/>
  <c r="T36" i="1"/>
  <c r="R36" i="1"/>
  <c r="N36" i="1"/>
  <c r="J36" i="1"/>
  <c r="X35" i="1"/>
  <c r="V35" i="1"/>
  <c r="T35" i="1"/>
  <c r="R35" i="1"/>
  <c r="N35" i="1"/>
  <c r="J35" i="1"/>
  <c r="X34" i="1"/>
  <c r="V34" i="1"/>
  <c r="T34" i="1"/>
  <c r="P34" i="1"/>
  <c r="R34" i="1" s="1"/>
  <c r="N34" i="1"/>
  <c r="J34" i="1"/>
  <c r="X32" i="1"/>
  <c r="V32" i="1"/>
  <c r="T32" i="1"/>
  <c r="R32" i="1"/>
  <c r="N32" i="1"/>
  <c r="J32" i="1"/>
  <c r="X31" i="1"/>
  <c r="V31" i="1"/>
  <c r="T31" i="1"/>
  <c r="R31" i="1"/>
  <c r="N31" i="1"/>
  <c r="J31" i="1"/>
  <c r="X30" i="1"/>
  <c r="V30" i="1"/>
  <c r="T30" i="1"/>
  <c r="R30" i="1"/>
  <c r="N30" i="1"/>
  <c r="J30" i="1"/>
  <c r="X29" i="1"/>
  <c r="V29" i="1"/>
  <c r="T29" i="1"/>
  <c r="R29" i="1"/>
  <c r="N29" i="1"/>
  <c r="J29" i="1"/>
  <c r="X28" i="1"/>
  <c r="V28" i="1"/>
  <c r="T28" i="1"/>
  <c r="R28" i="1"/>
  <c r="N28" i="1"/>
  <c r="J28" i="1"/>
  <c r="X27" i="1"/>
  <c r="V27" i="1"/>
  <c r="T27" i="1"/>
  <c r="R27" i="1"/>
  <c r="N27" i="1"/>
  <c r="J27" i="1"/>
  <c r="X26" i="1"/>
  <c r="V26" i="1"/>
  <c r="T26" i="1"/>
  <c r="R26" i="1"/>
  <c r="N26" i="1"/>
  <c r="J26" i="1"/>
  <c r="X25" i="1"/>
  <c r="V25" i="1"/>
  <c r="T25" i="1"/>
  <c r="R25" i="1"/>
  <c r="N25" i="1"/>
  <c r="J25" i="1"/>
  <c r="X24" i="1"/>
  <c r="V24" i="1"/>
  <c r="T24" i="1"/>
  <c r="R24" i="1"/>
  <c r="N24" i="1"/>
  <c r="J24" i="1"/>
  <c r="X23" i="1"/>
  <c r="V23" i="1"/>
  <c r="T23" i="1"/>
  <c r="R23" i="1"/>
  <c r="N23" i="1"/>
  <c r="J23" i="1"/>
  <c r="X22" i="1"/>
  <c r="V22" i="1"/>
  <c r="T22" i="1"/>
  <c r="R22" i="1"/>
  <c r="N22" i="1"/>
  <c r="J22" i="1"/>
  <c r="X21" i="1"/>
  <c r="V21" i="1"/>
  <c r="T21" i="1"/>
  <c r="R21" i="1"/>
  <c r="N21" i="1"/>
  <c r="J21" i="1"/>
  <c r="X20" i="1"/>
  <c r="V20" i="1"/>
  <c r="T20" i="1"/>
  <c r="R20" i="1"/>
  <c r="N20" i="1"/>
  <c r="J20" i="1"/>
  <c r="X19" i="1"/>
  <c r="V19" i="1"/>
  <c r="T19" i="1"/>
  <c r="R19" i="1"/>
  <c r="N19" i="1"/>
  <c r="J19" i="1"/>
  <c r="X18" i="1"/>
  <c r="V18" i="1"/>
  <c r="T18" i="1"/>
  <c r="R18" i="1"/>
  <c r="N18" i="1"/>
  <c r="J18" i="1"/>
  <c r="X17" i="1"/>
  <c r="V17" i="1"/>
  <c r="T17" i="1"/>
  <c r="R17" i="1"/>
  <c r="N17" i="1"/>
  <c r="J17" i="1"/>
  <c r="X16" i="1"/>
  <c r="V16" i="1"/>
  <c r="T16" i="1"/>
  <c r="R16" i="1"/>
  <c r="N16" i="1"/>
  <c r="J16" i="1"/>
  <c r="X15" i="1"/>
  <c r="V15" i="1"/>
  <c r="T15" i="1"/>
  <c r="R15" i="1"/>
  <c r="N15" i="1"/>
  <c r="J15" i="1"/>
  <c r="X14" i="1"/>
  <c r="V14" i="1"/>
  <c r="T14" i="1"/>
  <c r="R14" i="1"/>
  <c r="N14" i="1"/>
  <c r="J14" i="1"/>
  <c r="X13" i="1"/>
  <c r="V13" i="1"/>
  <c r="T13" i="1"/>
  <c r="R13" i="1"/>
  <c r="N13" i="1"/>
  <c r="J13" i="1"/>
  <c r="X11" i="1"/>
  <c r="V11" i="1"/>
  <c r="T11" i="1"/>
  <c r="R11" i="1"/>
  <c r="N11" i="1"/>
  <c r="J11" i="1"/>
  <c r="X10" i="1"/>
  <c r="V10" i="1"/>
  <c r="T10" i="1"/>
  <c r="R10" i="1"/>
  <c r="N10" i="1"/>
  <c r="J10" i="1"/>
  <c r="X9" i="1"/>
  <c r="V9" i="1"/>
  <c r="T9" i="1"/>
  <c r="R9" i="1"/>
  <c r="N9" i="1"/>
  <c r="J9" i="1"/>
  <c r="D9" i="1"/>
  <c r="D10" i="1" s="1"/>
  <c r="N88" i="1" l="1"/>
  <c r="Y331" i="1"/>
  <c r="Y118" i="1"/>
  <c r="Y129" i="1"/>
  <c r="Y143" i="1"/>
  <c r="Y145" i="1"/>
  <c r="Y152" i="1"/>
  <c r="Y212" i="1"/>
  <c r="Y271" i="1"/>
  <c r="Y276" i="1"/>
  <c r="Y277" i="1"/>
  <c r="Y302" i="1"/>
  <c r="Y306" i="1"/>
  <c r="Y29" i="1"/>
  <c r="H375" i="1"/>
  <c r="Y63" i="1"/>
  <c r="Y205" i="1"/>
  <c r="Y272" i="1"/>
  <c r="Y286" i="1"/>
  <c r="Y23" i="1"/>
  <c r="Y25" i="1"/>
  <c r="Y61" i="1"/>
  <c r="Y84" i="1"/>
  <c r="Y98" i="1"/>
  <c r="Y104" i="1"/>
  <c r="Y124" i="1"/>
  <c r="Y126" i="1"/>
  <c r="Y128" i="1"/>
  <c r="Y142" i="1"/>
  <c r="Y149" i="1"/>
  <c r="Y235" i="1"/>
  <c r="Y239" i="1"/>
  <c r="Y241" i="1"/>
  <c r="Y244" i="1"/>
  <c r="Y269" i="1"/>
  <c r="Y325" i="1"/>
  <c r="Y329" i="1"/>
  <c r="Y330" i="1"/>
  <c r="Y357" i="1"/>
  <c r="Y361" i="1"/>
  <c r="Y362" i="1"/>
  <c r="Y367" i="1"/>
  <c r="Y368" i="1"/>
  <c r="Y370" i="1"/>
  <c r="Y374" i="1"/>
  <c r="Y35" i="1"/>
  <c r="Y41" i="1"/>
  <c r="Y111" i="1"/>
  <c r="Y171" i="1"/>
  <c r="Y11" i="1"/>
  <c r="Y53" i="1"/>
  <c r="Y59" i="1"/>
  <c r="Y69" i="1"/>
  <c r="Y78" i="1"/>
  <c r="Y82" i="1"/>
  <c r="Y120" i="1"/>
  <c r="Y161" i="1"/>
  <c r="Y185" i="1"/>
  <c r="Y194" i="1"/>
  <c r="Y199" i="1"/>
  <c r="Y202" i="1"/>
  <c r="Y203" i="1"/>
  <c r="Y204" i="1"/>
  <c r="Y221" i="1"/>
  <c r="Y225" i="1"/>
  <c r="Y227" i="1"/>
  <c r="Y289" i="1"/>
  <c r="Y293" i="1"/>
  <c r="Y294" i="1"/>
  <c r="Y338" i="1"/>
  <c r="Y371" i="1"/>
  <c r="Y39" i="1"/>
  <c r="Y17" i="1"/>
  <c r="Y45" i="1"/>
  <c r="Y49" i="1"/>
  <c r="Y68" i="1"/>
  <c r="Y96" i="1"/>
  <c r="Y140" i="1"/>
  <c r="Y157" i="1"/>
  <c r="Y160" i="1"/>
  <c r="Y245" i="1"/>
  <c r="Y247" i="1"/>
  <c r="Y251" i="1"/>
  <c r="Y253" i="1"/>
  <c r="Y261" i="1"/>
  <c r="Y312" i="1"/>
  <c r="Y314" i="1"/>
  <c r="Y322" i="1"/>
  <c r="Y342" i="1"/>
  <c r="Y344" i="1"/>
  <c r="Y346" i="1"/>
  <c r="Y354" i="1"/>
  <c r="Y180" i="1"/>
  <c r="Y13" i="1"/>
  <c r="Y22" i="1"/>
  <c r="Y24" i="1"/>
  <c r="Y36" i="1"/>
  <c r="Y38" i="1"/>
  <c r="Y40" i="1"/>
  <c r="Y48" i="1"/>
  <c r="Y65" i="1"/>
  <c r="Y74" i="1"/>
  <c r="Y77" i="1"/>
  <c r="J88" i="1"/>
  <c r="Y88" i="1" s="1"/>
  <c r="Y99" i="1"/>
  <c r="Y101" i="1"/>
  <c r="Y106" i="1"/>
  <c r="Y112" i="1"/>
  <c r="Y116" i="1"/>
  <c r="Y127" i="1"/>
  <c r="Y164" i="1"/>
  <c r="Y175" i="1"/>
  <c r="Y188" i="1"/>
  <c r="Y190" i="1"/>
  <c r="Y211" i="1"/>
  <c r="Y254" i="1"/>
  <c r="Y347" i="1"/>
  <c r="Y366" i="1"/>
  <c r="Y10" i="1"/>
  <c r="Y15" i="1"/>
  <c r="Y18" i="1"/>
  <c r="Y21" i="1"/>
  <c r="Y28" i="1"/>
  <c r="Y30" i="1"/>
  <c r="Y32" i="1"/>
  <c r="Y34" i="1"/>
  <c r="Y37" i="1"/>
  <c r="Y44" i="1"/>
  <c r="Y46" i="1"/>
  <c r="Y52" i="1"/>
  <c r="Y54" i="1"/>
  <c r="Y56" i="1"/>
  <c r="Y66" i="1"/>
  <c r="Y75" i="1"/>
  <c r="Y90" i="1"/>
  <c r="Y92" i="1"/>
  <c r="Y107" i="1"/>
  <c r="Y121" i="1"/>
  <c r="Y135" i="1"/>
  <c r="Y163" i="1"/>
  <c r="Y182" i="1"/>
  <c r="Y189" i="1"/>
  <c r="Y195" i="1"/>
  <c r="Y209" i="1"/>
  <c r="Y216" i="1"/>
  <c r="Y220" i="1"/>
  <c r="Y230" i="1"/>
  <c r="Y234" i="1"/>
  <c r="Y259" i="1"/>
  <c r="Y262" i="1"/>
  <c r="Y265" i="1"/>
  <c r="Y273" i="1"/>
  <c r="Y280" i="1"/>
  <c r="Y284" i="1"/>
  <c r="Y287" i="1"/>
  <c r="Y290" i="1"/>
  <c r="Y297" i="1"/>
  <c r="Y299" i="1"/>
  <c r="Y301" i="1"/>
  <c r="Y320" i="1"/>
  <c r="Y335" i="1"/>
  <c r="Y337" i="1"/>
  <c r="Y350" i="1"/>
  <c r="Y352" i="1"/>
  <c r="Y364" i="1"/>
  <c r="Y19" i="1"/>
  <c r="Y26" i="1"/>
  <c r="Y42" i="1"/>
  <c r="Y50" i="1"/>
  <c r="Y85" i="1"/>
  <c r="Y91" i="1"/>
  <c r="Y103" i="1"/>
  <c r="Y148" i="1"/>
  <c r="Y151" i="1"/>
  <c r="Y153" i="1"/>
  <c r="Y167" i="1"/>
  <c r="Y187" i="1"/>
  <c r="Y201" i="1"/>
  <c r="Y210" i="1"/>
  <c r="Y218" i="1"/>
  <c r="Y229" i="1"/>
  <c r="Y232" i="1"/>
  <c r="Y238" i="1"/>
  <c r="Y242" i="1"/>
  <c r="Y250" i="1"/>
  <c r="Y252" i="1"/>
  <c r="Y267" i="1"/>
  <c r="Y278" i="1"/>
  <c r="Y292" i="1"/>
  <c r="Y295" i="1"/>
  <c r="Y309" i="1"/>
  <c r="Y313" i="1"/>
  <c r="Y315" i="1"/>
  <c r="Y324" i="1"/>
  <c r="Y326" i="1"/>
  <c r="Y328" i="1"/>
  <c r="Y345" i="1"/>
  <c r="Y358" i="1"/>
  <c r="Y360" i="1"/>
  <c r="Y9" i="1"/>
  <c r="Y14" i="1"/>
  <c r="Y16" i="1"/>
  <c r="Y20" i="1"/>
  <c r="Y27" i="1"/>
  <c r="Y31" i="1"/>
  <c r="Y43" i="1"/>
  <c r="Y47" i="1"/>
  <c r="Y51" i="1"/>
  <c r="Y55" i="1"/>
  <c r="Y72" i="1"/>
  <c r="Y76" i="1"/>
  <c r="Y89" i="1"/>
  <c r="Y166" i="1"/>
  <c r="Y173" i="1"/>
  <c r="Y178" i="1"/>
  <c r="R198" i="1"/>
  <c r="Y198" i="1" s="1"/>
  <c r="Y215" i="1"/>
  <c r="Y219" i="1"/>
  <c r="Y226" i="1"/>
  <c r="Y233" i="1"/>
  <c r="Y240" i="1"/>
  <c r="Y246" i="1"/>
  <c r="Y260" i="1"/>
  <c r="Y279" i="1"/>
  <c r="Y281" i="1"/>
  <c r="Y285" i="1"/>
  <c r="Y300" i="1"/>
  <c r="Y303" i="1"/>
  <c r="Y321" i="1"/>
  <c r="Y336" i="1"/>
  <c r="Y353" i="1"/>
  <c r="Y369" i="1"/>
  <c r="Y95" i="1"/>
  <c r="Y133" i="1"/>
  <c r="Y136" i="1"/>
  <c r="Y191" i="1"/>
  <c r="Y193" i="1"/>
  <c r="Y196" i="1"/>
  <c r="Y206" i="1"/>
  <c r="Y217" i="1"/>
  <c r="Y263" i="1"/>
  <c r="Y291" i="1"/>
  <c r="Y316" i="1"/>
  <c r="Y348" i="1"/>
  <c r="Y81" i="1"/>
  <c r="Y139" i="1"/>
  <c r="Y170" i="1"/>
  <c r="Y334" i="1"/>
  <c r="Y356" i="1"/>
  <c r="Y58" i="1"/>
  <c r="Y64" i="1"/>
  <c r="Y67" i="1"/>
  <c r="Y70" i="1"/>
  <c r="Y79" i="1"/>
  <c r="Y93" i="1"/>
  <c r="Y110" i="1"/>
  <c r="Y113" i="1"/>
  <c r="Y134" i="1"/>
  <c r="Y137" i="1"/>
  <c r="Y144" i="1"/>
  <c r="Y155" i="1"/>
  <c r="Y158" i="1"/>
  <c r="P165" i="1"/>
  <c r="R165" i="1" s="1"/>
  <c r="N165" i="1"/>
  <c r="Y168" i="1"/>
  <c r="Y183" i="1"/>
  <c r="Y184" i="1"/>
  <c r="Y200" i="1"/>
  <c r="Y213" i="1"/>
  <c r="Y224" i="1"/>
  <c r="Y237" i="1"/>
  <c r="Y248" i="1"/>
  <c r="Y258" i="1"/>
  <c r="Y270" i="1"/>
  <c r="Y274" i="1"/>
  <c r="Y275" i="1"/>
  <c r="Y288" i="1"/>
  <c r="Y298" i="1"/>
  <c r="Y308" i="1"/>
  <c r="Y311" i="1"/>
  <c r="Y333" i="1"/>
  <c r="Y343" i="1"/>
  <c r="L375" i="1"/>
  <c r="N60" i="1"/>
  <c r="Y62" i="1"/>
  <c r="Y73" i="1"/>
  <c r="Y115" i="1"/>
  <c r="Y119" i="1"/>
  <c r="Y131" i="1"/>
  <c r="Y223" i="1"/>
  <c r="Y236" i="1"/>
  <c r="Y332" i="1"/>
  <c r="Y365" i="1"/>
  <c r="P60" i="1"/>
  <c r="R60" i="1" s="1"/>
  <c r="Y71" i="1"/>
  <c r="Y102" i="1"/>
  <c r="Y105" i="1"/>
  <c r="Y108" i="1"/>
  <c r="Y117" i="1"/>
  <c r="Y122" i="1"/>
  <c r="Y125" i="1"/>
  <c r="Y146" i="1"/>
  <c r="Y150" i="1"/>
  <c r="Y177" i="1"/>
  <c r="Y181" i="1"/>
  <c r="Y222" i="1"/>
  <c r="Y249" i="1"/>
  <c r="Y256" i="1"/>
  <c r="Y266" i="1"/>
  <c r="Y296" i="1"/>
  <c r="Y319" i="1"/>
  <c r="Y341" i="1"/>
  <c r="Y351" i="1"/>
  <c r="Y355" i="1"/>
  <c r="K375" i="1"/>
  <c r="D11" i="1"/>
  <c r="D13" i="1" s="1"/>
  <c r="Y123" i="1"/>
  <c r="Y130" i="1"/>
  <c r="Y156" i="1"/>
  <c r="Y208" i="1"/>
  <c r="Y255" i="1"/>
  <c r="Y305" i="1"/>
  <c r="Y318" i="1"/>
  <c r="Y323" i="1"/>
  <c r="Y340" i="1"/>
  <c r="Y373" i="1"/>
  <c r="Y80" i="1"/>
  <c r="Y83" i="1"/>
  <c r="Y86" i="1"/>
  <c r="Y94" i="1"/>
  <c r="Y97" i="1"/>
  <c r="Y100" i="1"/>
  <c r="Y109" i="1"/>
  <c r="Y138" i="1"/>
  <c r="Y141" i="1"/>
  <c r="Y154" i="1"/>
  <c r="Y162" i="1"/>
  <c r="Y169" i="1"/>
  <c r="Y172" i="1"/>
  <c r="Y176" i="1"/>
  <c r="Y179" i="1"/>
  <c r="Y192" i="1"/>
  <c r="Y197" i="1"/>
  <c r="Y207" i="1"/>
  <c r="Y231" i="1"/>
  <c r="Y257" i="1"/>
  <c r="Y264" i="1"/>
  <c r="Y282" i="1"/>
  <c r="Y304" i="1"/>
  <c r="Y310" i="1"/>
  <c r="Y317" i="1"/>
  <c r="Y327" i="1"/>
  <c r="Y339" i="1"/>
  <c r="Y349" i="1"/>
  <c r="Y359" i="1"/>
  <c r="Y372" i="1"/>
  <c r="P375" i="1" l="1"/>
  <c r="Y165" i="1"/>
  <c r="Y60" i="1"/>
  <c r="D14" i="1"/>
  <c r="Y375" i="1" l="1"/>
  <c r="D15" i="1"/>
  <c r="D16" i="1" s="1"/>
  <c r="D17" i="1" l="1"/>
  <c r="D18" i="1" s="1"/>
  <c r="D19" i="1" s="1"/>
  <c r="D20" i="1" l="1"/>
  <c r="D21" i="1" l="1"/>
  <c r="D22" i="1" s="1"/>
  <c r="D23" i="1" s="1"/>
  <c r="D24" i="1" l="1"/>
  <c r="D25" i="1" l="1"/>
  <c r="D26" i="1" s="1"/>
  <c r="D27" i="1" s="1"/>
  <c r="D28" i="1" s="1"/>
  <c r="D29" i="1" s="1"/>
  <c r="D30" i="1" s="1"/>
  <c r="D31" i="1" s="1"/>
  <c r="D32" i="1" s="1"/>
  <c r="D34" i="1" s="1"/>
  <c r="D35" i="1" s="1"/>
  <c r="D36" i="1" s="1"/>
  <c r="D37" i="1" s="1"/>
  <c r="D38" i="1" s="1"/>
  <c r="D39" i="1" s="1"/>
  <c r="D40" i="1" s="1"/>
  <c r="D41" i="1" s="1"/>
  <c r="D42" i="1" s="1"/>
  <c r="D43" i="1" s="1"/>
  <c r="D44" i="1" s="1"/>
  <c r="D45" i="1" s="1"/>
  <c r="D46" i="1" s="1"/>
  <c r="D47" i="1" s="1"/>
  <c r="D48" i="1" s="1"/>
  <c r="D49" i="1" s="1"/>
  <c r="D50" i="1" s="1"/>
  <c r="D51" i="1" s="1"/>
  <c r="D52" i="1" s="1"/>
  <c r="D53" i="1" s="1"/>
  <c r="D54" i="1" s="1"/>
  <c r="D55" i="1" s="1"/>
  <c r="D56" i="1" s="1"/>
  <c r="D58" i="1" s="1"/>
  <c r="D59" i="1" s="1"/>
  <c r="D60" i="1" s="1"/>
  <c r="D61" i="1" s="1"/>
  <c r="D62" i="1" s="1"/>
  <c r="D63" i="1" s="1"/>
  <c r="D64" i="1" s="1"/>
  <c r="D65" i="1" s="1"/>
  <c r="D66" i="1" s="1"/>
  <c r="D67" i="1" s="1"/>
  <c r="D68" i="1" s="1"/>
  <c r="D69" i="1" s="1"/>
  <c r="D70" i="1" s="1"/>
  <c r="D71" i="1" s="1"/>
  <c r="D72" i="1" s="1"/>
  <c r="D73" i="1" s="1"/>
  <c r="D74" i="1" s="1"/>
  <c r="D75" i="1" s="1"/>
  <c r="D76" i="1" s="1"/>
  <c r="D77" i="1" s="1"/>
  <c r="D78" i="1" s="1"/>
  <c r="D79" i="1" s="1"/>
  <c r="D80" i="1" s="1"/>
  <c r="D81" i="1" s="1"/>
  <c r="D82" i="1" s="1"/>
  <c r="D83" i="1" s="1"/>
  <c r="D84" i="1" s="1"/>
  <c r="D85" i="1" s="1"/>
  <c r="D86" i="1" s="1"/>
  <c r="D88" i="1" s="1"/>
  <c r="D89" i="1" s="1"/>
  <c r="D90" i="1" s="1"/>
  <c r="D91" i="1" s="1"/>
  <c r="D92" i="1" s="1"/>
  <c r="D93" i="1" s="1"/>
  <c r="D94" i="1" s="1"/>
  <c r="D95" i="1" s="1"/>
  <c r="D96" i="1" s="1"/>
  <c r="D97" i="1" s="1"/>
  <c r="D98" i="1" s="1"/>
  <c r="D99" i="1" s="1"/>
  <c r="D100" i="1" s="1"/>
  <c r="D101" i="1" s="1"/>
  <c r="D102" i="1" s="1"/>
  <c r="D103" i="1" s="1"/>
  <c r="D104" i="1" s="1"/>
  <c r="D105" i="1" s="1"/>
  <c r="D106" i="1" s="1"/>
  <c r="D107" i="1" s="1"/>
  <c r="D108" i="1" s="1"/>
  <c r="D109" i="1" s="1"/>
  <c r="D110" i="1" s="1"/>
  <c r="D111" i="1" s="1"/>
  <c r="D112" i="1" s="1"/>
  <c r="D113" i="1" s="1"/>
  <c r="D115" i="1" s="1"/>
  <c r="D116" i="1" s="1"/>
  <c r="D117" i="1" s="1"/>
  <c r="D118" i="1" s="1"/>
  <c r="D119" i="1" s="1"/>
  <c r="D120" i="1" s="1"/>
  <c r="D121" i="1" s="1"/>
  <c r="D122" i="1" s="1"/>
  <c r="D123" i="1" s="1"/>
  <c r="D124" i="1" s="1"/>
  <c r="D125" i="1" s="1"/>
  <c r="D126" i="1" s="1"/>
  <c r="D127" i="1" s="1"/>
  <c r="D128" i="1" s="1"/>
  <c r="D129" i="1" s="1"/>
  <c r="D130" i="1" s="1"/>
  <c r="D131" i="1" s="1"/>
  <c r="D133" i="1" s="1"/>
  <c r="D134" i="1" s="1"/>
  <c r="D135" i="1" s="1"/>
  <c r="D136" i="1" s="1"/>
  <c r="D137" i="1" s="1"/>
  <c r="D138" i="1" s="1"/>
  <c r="D139" i="1" s="1"/>
  <c r="D140" i="1" s="1"/>
  <c r="D141" i="1" s="1"/>
  <c r="D142" i="1" s="1"/>
  <c r="D143" i="1" s="1"/>
  <c r="D144" i="1" s="1"/>
  <c r="D145" i="1" s="1"/>
  <c r="D146" i="1" s="1"/>
  <c r="D148" i="1" s="1"/>
  <c r="D149" i="1" s="1"/>
  <c r="D150" i="1" s="1"/>
  <c r="D151" i="1" s="1"/>
  <c r="D152" i="1" s="1"/>
  <c r="D153" i="1" s="1"/>
  <c r="D154" i="1" s="1"/>
  <c r="D155" i="1" s="1"/>
  <c r="D156" i="1" s="1"/>
  <c r="D157" i="1" s="1"/>
  <c r="D158" i="1" s="1"/>
  <c r="D160" i="1" s="1"/>
  <c r="D161" i="1" s="1"/>
  <c r="D162" i="1" s="1"/>
  <c r="D163" i="1" s="1"/>
  <c r="D164" i="1" s="1"/>
  <c r="D165" i="1" s="1"/>
  <c r="D166" i="1" s="1"/>
  <c r="D167" i="1" s="1"/>
  <c r="D168" i="1" s="1"/>
  <c r="D169" i="1" s="1"/>
  <c r="D170" i="1" s="1"/>
  <c r="D171" i="1" s="1"/>
  <c r="D172" i="1" s="1"/>
  <c r="D173" i="1" s="1"/>
  <c r="D175" i="1" s="1"/>
  <c r="D176" i="1" s="1"/>
  <c r="D177" i="1" s="1"/>
  <c r="D178" i="1" s="1"/>
  <c r="D179" i="1" s="1"/>
  <c r="D180" i="1" s="1"/>
  <c r="D181" i="1" s="1"/>
  <c r="D182" i="1" s="1"/>
  <c r="D183" i="1" s="1"/>
  <c r="D184" i="1" s="1"/>
  <c r="D185" i="1" s="1"/>
  <c r="D187" i="1" s="1"/>
  <c r="D188" i="1" s="1"/>
  <c r="D189" i="1" s="1"/>
  <c r="D190" i="1" s="1"/>
  <c r="D191" i="1" s="1"/>
  <c r="D192" i="1" s="1"/>
  <c r="D193" i="1" s="1"/>
  <c r="D194" i="1" s="1"/>
  <c r="D195" i="1" s="1"/>
  <c r="D196" i="1" s="1"/>
  <c r="D197" i="1" s="1"/>
  <c r="D198" i="1" s="1"/>
  <c r="D199" i="1" s="1"/>
  <c r="D200" i="1" s="1"/>
  <c r="D201" i="1" s="1"/>
  <c r="D202" i="1" s="1"/>
  <c r="D203" i="1" s="1"/>
  <c r="D204" i="1" s="1"/>
  <c r="D205" i="1" s="1"/>
  <c r="D206" i="1" s="1"/>
  <c r="D207" i="1" s="1"/>
  <c r="D208" i="1" s="1"/>
  <c r="D209" i="1" s="1"/>
  <c r="D210" i="1" s="1"/>
  <c r="D211" i="1" s="1"/>
  <c r="D212" i="1" s="1"/>
  <c r="D213" i="1" s="1"/>
  <c r="D215" i="1" s="1"/>
  <c r="D216" i="1" s="1"/>
  <c r="D217" i="1" s="1"/>
  <c r="D218" i="1" s="1"/>
  <c r="D219" i="1" s="1"/>
  <c r="D220" i="1" s="1"/>
  <c r="D221" i="1" s="1"/>
  <c r="D222" i="1" s="1"/>
  <c r="D223" i="1" s="1"/>
  <c r="D224" i="1" s="1"/>
  <c r="D225" i="1" s="1"/>
  <c r="D226" i="1" s="1"/>
  <c r="D227" i="1" s="1"/>
  <c r="D229" i="1" s="1"/>
  <c r="D230" i="1" s="1"/>
  <c r="D231" i="1" s="1"/>
  <c r="D232" i="1" s="1"/>
  <c r="D233" i="1" s="1"/>
  <c r="D234" i="1" s="1"/>
  <c r="D235" i="1" s="1"/>
  <c r="D236" i="1" s="1"/>
  <c r="D237" i="1" s="1"/>
  <c r="D238" i="1" s="1"/>
  <c r="D239" i="1" s="1"/>
  <c r="D240" i="1" s="1"/>
  <c r="D241" i="1" s="1"/>
  <c r="D242" i="1" s="1"/>
  <c r="D244" i="1" s="1"/>
  <c r="D245" i="1" s="1"/>
  <c r="D246" i="1" s="1"/>
  <c r="D247" i="1" s="1"/>
  <c r="D248" i="1" s="1"/>
  <c r="D249" i="1" s="1"/>
  <c r="D250" i="1" s="1"/>
  <c r="D251" i="1" s="1"/>
  <c r="D252" i="1" s="1"/>
  <c r="D253" i="1" s="1"/>
  <c r="D254" i="1" s="1"/>
  <c r="D255" i="1" s="1"/>
  <c r="D256" i="1" s="1"/>
  <c r="D257" i="1" s="1"/>
  <c r="D258" i="1" s="1"/>
  <c r="D259" i="1" s="1"/>
  <c r="D260" i="1" s="1"/>
  <c r="D261" i="1" s="1"/>
  <c r="D262" i="1" s="1"/>
  <c r="D263" i="1" s="1"/>
  <c r="D264" i="1" s="1"/>
  <c r="D265" i="1" s="1"/>
  <c r="D266" i="1" s="1"/>
  <c r="D267" i="1" s="1"/>
  <c r="D269" i="1" s="1"/>
  <c r="D270" i="1" s="1"/>
  <c r="D271" i="1" s="1"/>
  <c r="D272" i="1" s="1"/>
  <c r="D273" i="1" s="1"/>
  <c r="D274" i="1" s="1"/>
  <c r="D275" i="1" s="1"/>
  <c r="D276" i="1" s="1"/>
  <c r="D277" i="1" s="1"/>
  <c r="D278" i="1" s="1"/>
  <c r="D279" i="1" s="1"/>
  <c r="D280" i="1" s="1"/>
  <c r="D281" i="1" s="1"/>
  <c r="D282" i="1" s="1"/>
  <c r="D283" i="1" s="1"/>
  <c r="D284" i="1" s="1"/>
  <c r="D285" i="1" s="1"/>
  <c r="D286" i="1" s="1"/>
  <c r="D287" i="1" s="1"/>
  <c r="D288" i="1" s="1"/>
  <c r="D289" i="1" s="1"/>
  <c r="D290" i="1" s="1"/>
  <c r="D291" i="1" s="1"/>
  <c r="D292" i="1" s="1"/>
  <c r="D293" i="1" s="1"/>
  <c r="D294" i="1" s="1"/>
  <c r="D295" i="1" s="1"/>
  <c r="D296" i="1" s="1"/>
  <c r="D297" i="1" s="1"/>
  <c r="D298" i="1" s="1"/>
  <c r="D299" i="1" s="1"/>
  <c r="D300" i="1" s="1"/>
  <c r="D301" i="1" s="1"/>
  <c r="D302" i="1" s="1"/>
  <c r="D303" i="1" s="1"/>
  <c r="D304" i="1" s="1"/>
  <c r="D305" i="1" s="1"/>
  <c r="D306" i="1" s="1"/>
  <c r="D308" i="1" s="1"/>
  <c r="D309" i="1" s="1"/>
  <c r="D310" i="1" s="1"/>
  <c r="D311" i="1" s="1"/>
  <c r="D312" i="1" s="1"/>
  <c r="D313" i="1" s="1"/>
  <c r="D314" i="1" s="1"/>
  <c r="D315" i="1" s="1"/>
  <c r="D316" i="1" s="1"/>
  <c r="D317" i="1" s="1"/>
  <c r="D318" i="1" s="1"/>
  <c r="D319" i="1" s="1"/>
  <c r="D320" i="1" s="1"/>
  <c r="D321" i="1" s="1"/>
  <c r="D322" i="1" s="1"/>
  <c r="D323" i="1" s="1"/>
  <c r="D324" i="1" s="1"/>
  <c r="D325" i="1" s="1"/>
  <c r="D326" i="1" s="1"/>
  <c r="D327" i="1" s="1"/>
  <c r="D328" i="1" s="1"/>
  <c r="D329" i="1" s="1"/>
  <c r="D330" i="1" s="1"/>
  <c r="D331" i="1" s="1"/>
  <c r="D332" i="1" s="1"/>
  <c r="D333" i="1" s="1"/>
  <c r="D334" i="1" s="1"/>
  <c r="D335" i="1" s="1"/>
  <c r="D336" i="1" s="1"/>
  <c r="D337" i="1" s="1"/>
  <c r="D338" i="1" s="1"/>
  <c r="D339" i="1" s="1"/>
  <c r="D340" i="1" s="1"/>
  <c r="D341" i="1" s="1"/>
  <c r="D342" i="1" s="1"/>
  <c r="D343" i="1" s="1"/>
  <c r="D344" i="1" s="1"/>
  <c r="D345" i="1" s="1"/>
  <c r="D346" i="1" s="1"/>
  <c r="D347" i="1" s="1"/>
  <c r="D348" i="1" s="1"/>
  <c r="D349" i="1" s="1"/>
  <c r="D350" i="1" s="1"/>
  <c r="D351" i="1" s="1"/>
  <c r="D352" i="1" s="1"/>
  <c r="D353" i="1" s="1"/>
  <c r="D354" i="1" s="1"/>
  <c r="D355" i="1" s="1"/>
  <c r="D356" i="1" s="1"/>
  <c r="D357" i="1" s="1"/>
  <c r="D358" i="1" s="1"/>
  <c r="D359" i="1" s="1"/>
  <c r="D360" i="1" s="1"/>
  <c r="D361" i="1" s="1"/>
  <c r="D362" i="1" s="1"/>
  <c r="D364" i="1" s="1"/>
  <c r="D365" i="1" s="1"/>
  <c r="D366" i="1" s="1"/>
  <c r="D367" i="1" s="1"/>
  <c r="D368" i="1" s="1"/>
  <c r="D369" i="1" s="1"/>
  <c r="D370" i="1" s="1"/>
  <c r="D371" i="1" s="1"/>
  <c r="D372" i="1" s="1"/>
  <c r="D373" i="1" s="1"/>
  <c r="D374" i="1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Windows User</author>
  </authors>
  <commentList>
    <comment ref="G190" authorId="0" shapeId="0" xr:uid="{00000000-0006-0000-0000-000001000000}">
      <text>
        <r>
          <rPr>
            <b/>
            <sz val="9"/>
            <color indexed="81"/>
            <rFont val="Tahoma"/>
            <family val="2"/>
          </rPr>
          <t>Windows User:</t>
        </r>
        <r>
          <rPr>
            <sz val="9"/>
            <color indexed="81"/>
            <rFont val="Tahoma"/>
            <family val="2"/>
          </rPr>
          <t xml:space="preserve">
lên lương tháng 9 QĐ 514</t>
        </r>
      </text>
    </comment>
    <comment ref="K190" authorId="0" shapeId="0" xr:uid="{00000000-0006-0000-0000-000002000000}">
      <text>
        <r>
          <rPr>
            <b/>
            <sz val="9"/>
            <color indexed="81"/>
            <rFont val="Tahoma"/>
            <family val="2"/>
          </rPr>
          <t>Windows User:</t>
        </r>
        <r>
          <rPr>
            <sz val="9"/>
            <color indexed="81"/>
            <rFont val="Tahoma"/>
            <family val="2"/>
          </rPr>
          <t xml:space="preserve">
lên lương tháng 9 QĐ 514</t>
        </r>
      </text>
    </comment>
    <comment ref="O190" authorId="0" shapeId="0" xr:uid="{00000000-0006-0000-0000-000003000000}">
      <text>
        <r>
          <rPr>
            <b/>
            <sz val="9"/>
            <color indexed="81"/>
            <rFont val="Tahoma"/>
            <family val="2"/>
          </rPr>
          <t>Windows User:</t>
        </r>
        <r>
          <rPr>
            <sz val="9"/>
            <color indexed="81"/>
            <rFont val="Tahoma"/>
            <family val="2"/>
          </rPr>
          <t xml:space="preserve">
lên lương tháng 9 QĐ 514</t>
        </r>
      </text>
    </comment>
  </commentList>
</comments>
</file>

<file path=xl/sharedStrings.xml><?xml version="1.0" encoding="utf-8"?>
<sst xmlns="http://schemas.openxmlformats.org/spreadsheetml/2006/main" count="2886" uniqueCount="790">
  <si>
    <t>SỞ Y TẾ THÀNH PHỐ ĐÀ NẴNG</t>
  </si>
  <si>
    <t>TRUNG TÂM KIỂM SOÁT BỆNH TẬT</t>
  </si>
  <si>
    <t>BẢNG THANH TOÁNLƯƠNG CHO CC, VC, NGƯỜI LAO ĐỘNG THÁNG 01/2026</t>
  </si>
  <si>
    <t>LỌC</t>
  </si>
  <si>
    <t xml:space="preserve"> TT</t>
  </si>
  <si>
    <t>HỌ VÀ TÊN</t>
  </si>
  <si>
    <t>SỐ TK</t>
  </si>
  <si>
    <t>Hệ số lương tháng 1</t>
  </si>
  <si>
    <t>Hệ số lương tháng 2</t>
  </si>
  <si>
    <t>Hệ số lương tháng 3</t>
  </si>
  <si>
    <t>Thành tiền</t>
  </si>
  <si>
    <t>Địa chỉ mail</t>
  </si>
  <si>
    <t>Hệ số lương</t>
  </si>
  <si>
    <t>PC vượt khung</t>
  </si>
  <si>
    <t>PC chức vụ</t>
  </si>
  <si>
    <t>Tổng hệ số</t>
  </si>
  <si>
    <t>Tháng 1</t>
  </si>
  <si>
    <t>Hệ số</t>
  </si>
  <si>
    <t>Tháng 2</t>
  </si>
  <si>
    <t>Tháng 3</t>
  </si>
  <si>
    <t>.</t>
  </si>
  <si>
    <t>Ban Giám đốc</t>
  </si>
  <si>
    <t>VC</t>
  </si>
  <si>
    <t>CM</t>
  </si>
  <si>
    <t>KD</t>
  </si>
  <si>
    <t>Nguyễn Đại Vĩnh</t>
  </si>
  <si>
    <t>Hoàn thành xuất sắc nhiệm vụ</t>
  </si>
  <si>
    <t>Hoàn thành tốt nhiệm vụ</t>
  </si>
  <si>
    <t>AIDS</t>
  </si>
  <si>
    <t>Lê Thành Chung</t>
  </si>
  <si>
    <t>XN</t>
  </si>
  <si>
    <t>Võ Trung Hoàng</t>
  </si>
  <si>
    <t>Phòng TCHC</t>
  </si>
  <si>
    <t>QL</t>
  </si>
  <si>
    <t>TC</t>
  </si>
  <si>
    <t>Trần Liên</t>
  </si>
  <si>
    <t>Lưu Thị Mận</t>
  </si>
  <si>
    <t>Nguyễn Thị Hoàng Việt</t>
  </si>
  <si>
    <t>Hoàn thành nhiệm vụ</t>
  </si>
  <si>
    <t>Nguyễn Thị Lý</t>
  </si>
  <si>
    <t>Lê Thị Bích Trâm</t>
  </si>
  <si>
    <t>Đặng Thị Tuyến</t>
  </si>
  <si>
    <t>Trần Nguyên Quỳnh Thư</t>
  </si>
  <si>
    <t>Trần Thị Thanh Vân</t>
  </si>
  <si>
    <t>Huỳnh Thị Hoàng Thư</t>
  </si>
  <si>
    <t>Lại Thị Huyền Trang</t>
  </si>
  <si>
    <t>Trương Ngọc Sĩ</t>
  </si>
  <si>
    <t>Nguyễn Thị Hà Vy</t>
  </si>
  <si>
    <t>Lê Thị Phương Uyên</t>
  </si>
  <si>
    <t>Nguyễn Thị Kim Hoàn</t>
  </si>
  <si>
    <t xml:space="preserve">Trịnh Ngọc Như Quỳnh </t>
  </si>
  <si>
    <t>0935759085</t>
  </si>
  <si>
    <t>Nguyễn Vũ Thùy Trang</t>
  </si>
  <si>
    <t>Nguyễn Thị Vũ Cẩm</t>
  </si>
  <si>
    <t>Hoàng Thị Trí</t>
  </si>
  <si>
    <t>Phan Chiến Thắng</t>
  </si>
  <si>
    <t>Lê Công Hải</t>
  </si>
  <si>
    <t>Phòng TCKT</t>
  </si>
  <si>
    <t>KT</t>
  </si>
  <si>
    <t>Hồ Phú Quảng</t>
  </si>
  <si>
    <t>Mai Thị Xuân Bình</t>
  </si>
  <si>
    <t>Trương Văn Hành</t>
  </si>
  <si>
    <t>Hồ Thị Thu Phương</t>
  </si>
  <si>
    <t>Nguyễn Thị Bích Thuỷ</t>
  </si>
  <si>
    <t>Phan Thị Anh Thu</t>
  </si>
  <si>
    <t>Nguyễn Thị Thu Tâm</t>
  </si>
  <si>
    <t>Lê Thị Mỹ Phượng</t>
  </si>
  <si>
    <t>Nguyễn Thị Thanh Hiếu</t>
  </si>
  <si>
    <t>Trần Quốc Việt</t>
  </si>
  <si>
    <t>Phan Thị Yến Ly</t>
  </si>
  <si>
    <t>Nguyễn Thị Vân</t>
  </si>
  <si>
    <t>Hồ Thị Thanh Giang</t>
  </si>
  <si>
    <t>Trần Hoàng Uyên</t>
  </si>
  <si>
    <t>Trần Thị Liên</t>
  </si>
  <si>
    <t>Trịnh Thị Thu Hằng</t>
  </si>
  <si>
    <t>Lê Thị Vân Kiều</t>
  </si>
  <si>
    <t>Lê Thị Mến</t>
  </si>
  <si>
    <t>Không đánh giá, xếp loại</t>
  </si>
  <si>
    <t>Mai Thị Thanh Nga</t>
  </si>
  <si>
    <t>Huỳnh Thị Kim Dung</t>
  </si>
  <si>
    <t>Hồ Thị Bích Trâm</t>
  </si>
  <si>
    <t>Hồ Thị Kim Ánh</t>
  </si>
  <si>
    <t>Phạm Phú Ân</t>
  </si>
  <si>
    <t>Phòng KHNV</t>
  </si>
  <si>
    <t>KH</t>
  </si>
  <si>
    <t>Trần Văn Vũ</t>
  </si>
  <si>
    <t>Đỗ Ích Thành</t>
  </si>
  <si>
    <t>Nguyễn Lợi</t>
  </si>
  <si>
    <t>Nguyễn Dương Châu Giang</t>
  </si>
  <si>
    <t>Ngô Xuân Hòa</t>
  </si>
  <si>
    <t>Phan Thanh Hoàn</t>
  </si>
  <si>
    <t>Vũ Thanh Huyền</t>
  </si>
  <si>
    <t>Nguyễn Thị Minh Trâm</t>
  </si>
  <si>
    <t>Hồ Thị Sương</t>
  </si>
  <si>
    <t>Nguyễn Thị Thảo Ly</t>
  </si>
  <si>
    <t>Phan Thị Ni Na</t>
  </si>
  <si>
    <t>Huỳnh Thị Thanh Tú</t>
  </si>
  <si>
    <t>Phan Nguyễn Trà Linh</t>
  </si>
  <si>
    <t>Đinh Văn Thái</t>
  </si>
  <si>
    <t>Hồ Công Lượng</t>
  </si>
  <si>
    <t>0935593353</t>
  </si>
  <si>
    <t>Lê Thị Thu Hiền</t>
  </si>
  <si>
    <t>Hồ Thanh Tùng</t>
  </si>
  <si>
    <t>Nguyễn Đức Lam Quỳnh</t>
  </si>
  <si>
    <t>Lâm Thị Nhanh</t>
  </si>
  <si>
    <t>Mai Thị Kiều Chinh</t>
  </si>
  <si>
    <t>Nguyễn Thị Minh Loan</t>
  </si>
  <si>
    <t>Lê Thị Thủy Tiên</t>
  </si>
  <si>
    <t>0973723864</t>
  </si>
  <si>
    <t>Tạ Thị Hương</t>
  </si>
  <si>
    <t>Đặng Ngọc Anh</t>
  </si>
  <si>
    <t>Đặng Quang Anh</t>
  </si>
  <si>
    <t>Nguyễn Thị Kim Phú</t>
  </si>
  <si>
    <t>0858887888</t>
  </si>
  <si>
    <t>Nguyễn Ngọc Thục Uyên</t>
  </si>
  <si>
    <t>Nguyễn Trần Hà Thu</t>
  </si>
  <si>
    <t>Lê Thị Phương Thảo</t>
  </si>
  <si>
    <t>Khoa Dược-VTYT</t>
  </si>
  <si>
    <t>DUOC</t>
  </si>
  <si>
    <t>Nguyễn Công Ẩn</t>
  </si>
  <si>
    <t>Nguyễn Thị Ánh Bình</t>
  </si>
  <si>
    <t>Đỗ Thu Hà</t>
  </si>
  <si>
    <t>Nguyễn Thị Hiệp</t>
  </si>
  <si>
    <t>Đào Phúc Nguyên</t>
  </si>
  <si>
    <t>Trần Thị Minh Châu</t>
  </si>
  <si>
    <t>Ngô Đặng Hà Giang</t>
  </si>
  <si>
    <t>Nguyễn Đình Quang</t>
  </si>
  <si>
    <t>Phạm Nguyễn Khánh Phương</t>
  </si>
  <si>
    <t>Phan Thị Thanh Hằng</t>
  </si>
  <si>
    <t xml:space="preserve">Mai Thị Tính </t>
  </si>
  <si>
    <t>Trần Thị Bích Nguyệt</t>
  </si>
  <si>
    <t>Trần Thị Thanh Phú</t>
  </si>
  <si>
    <t>Lê Thị Thanh Thủy</t>
  </si>
  <si>
    <t>Văn Thị Yến</t>
  </si>
  <si>
    <t>Tô Thị Sách</t>
  </si>
  <si>
    <t xml:space="preserve">Nguyễn Thị Ngọc Diệp </t>
  </si>
  <si>
    <t xml:space="preserve">Nguyễn Thị Kim Qúi </t>
  </si>
  <si>
    <t>Nguyễn Thị Xuân Hương</t>
  </si>
  <si>
    <t>Trần Hoàng Long</t>
  </si>
  <si>
    <t>Lê Thị Ngà</t>
  </si>
  <si>
    <t>Hồ Nhật Tân</t>
  </si>
  <si>
    <t>Huỳnh Bá Thành</t>
  </si>
  <si>
    <t>Lương Thị Bích Vân</t>
  </si>
  <si>
    <t>Lê Xuân Lộc</t>
  </si>
  <si>
    <t>Lê Nguyễn Quỳnh Châu</t>
  </si>
  <si>
    <t>Khoa PC bệnh truyền nhiễm</t>
  </si>
  <si>
    <t>BTN</t>
  </si>
  <si>
    <t>Phạm Văn Mỹ</t>
  </si>
  <si>
    <t>Đặng Quang Ánh</t>
  </si>
  <si>
    <t>Đoàn Cẩm Trúc</t>
  </si>
  <si>
    <t>Nguyễn Thị Yến</t>
  </si>
  <si>
    <t>Nguyễn Đỗ Bảo Quyên</t>
  </si>
  <si>
    <t>Phạm Thi Nam</t>
  </si>
  <si>
    <t>Võ Thị Thùy Trang</t>
  </si>
  <si>
    <t>Nguyễn Thị Yên</t>
  </si>
  <si>
    <t>Võ Vĩnh Hào</t>
  </si>
  <si>
    <t>Trần Thị Mai Loan</t>
  </si>
  <si>
    <t>Lê Trung Hiếu</t>
  </si>
  <si>
    <t>Vũ Nguyên Thiên</t>
  </si>
  <si>
    <t>Phạm Duy Phương Nhi</t>
  </si>
  <si>
    <t>Nguyễn Thị Mỹ Dung</t>
  </si>
  <si>
    <t>Huỳnh Thị Ánh Minh</t>
  </si>
  <si>
    <t>Châu Thị Trinh Thoa</t>
  </si>
  <si>
    <t>Đặng Thị Mai Khôi</t>
  </si>
  <si>
    <t>Khoa PC bệnh không lây nhiễm</t>
  </si>
  <si>
    <t>KLN</t>
  </si>
  <si>
    <t>Huỳnh Thị Bích Châu</t>
  </si>
  <si>
    <t>Đỗ Nguyễn Bảo Ngọc</t>
  </si>
  <si>
    <t>Nguyễn Thị Phượng</t>
  </si>
  <si>
    <t>Bùi Thị Long Cảnh</t>
  </si>
  <si>
    <t>Nguyễn  Minh Tuấn</t>
  </si>
  <si>
    <t>Nguyễn Văn Hạnh</t>
  </si>
  <si>
    <t>Đỗ Thanh Tuyền</t>
  </si>
  <si>
    <t>Lê Thị Lành</t>
  </si>
  <si>
    <t>Mai Thị Mỹ Duyên</t>
  </si>
  <si>
    <t>Nguyễn Thị Thu Thảo</t>
  </si>
  <si>
    <t>Lê Thị Hoài Như</t>
  </si>
  <si>
    <t>Trần Đàm Thịnh</t>
  </si>
  <si>
    <t>Trần Thị Kim Oanh</t>
  </si>
  <si>
    <t>Phạm Thị Thanh Mai</t>
  </si>
  <si>
    <t>Khoa Ký sinh trùng-CT</t>
  </si>
  <si>
    <t>KST</t>
  </si>
  <si>
    <t>Nguyễn Như Tiến</t>
  </si>
  <si>
    <t>Phan Thành Tuân</t>
  </si>
  <si>
    <t>Dương Quốc Thảo</t>
  </si>
  <si>
    <t>Lê Tấn Ninh</t>
  </si>
  <si>
    <t>Trương Công Phước</t>
  </si>
  <si>
    <t>Nguyễn Đức Vinh</t>
  </si>
  <si>
    <t>Phan Thị Thanh</t>
  </si>
  <si>
    <t>Đàm Phạm Minh Khôi</t>
  </si>
  <si>
    <t>Vũ Đức Hậu</t>
  </si>
  <si>
    <t>Phan Sỹ Minh</t>
  </si>
  <si>
    <t>Nguyễn Thị Ngọc Bích</t>
  </si>
  <si>
    <t>Khoa Bệnh nghề nghiệp</t>
  </si>
  <si>
    <t>BNN</t>
  </si>
  <si>
    <t>Dương Ấm Mậu</t>
  </si>
  <si>
    <t>Lê Đức Đoàn</t>
  </si>
  <si>
    <t>Ngô Quang Việt Nhi</t>
  </si>
  <si>
    <t>Nguyễn Hữu Thành</t>
  </si>
  <si>
    <t>Nguyễn Thị Thanh Trà</t>
  </si>
  <si>
    <t>Nguyễn Đình Thảng</t>
  </si>
  <si>
    <t>Nguyễn Thị Thanh Hương</t>
  </si>
  <si>
    <t>Nguyễn Thị Kim Tiên</t>
  </si>
  <si>
    <t>Hoàng Thị Nhâm</t>
  </si>
  <si>
    <t>Hồ Thanh Nhật</t>
  </si>
  <si>
    <t>Trương Công Gia Huy</t>
  </si>
  <si>
    <t>Nguyễn Trung Tính</t>
  </si>
  <si>
    <t>Bùi Vũ Minh Hoàng</t>
  </si>
  <si>
    <t>Nguyễn Thanh Tú</t>
  </si>
  <si>
    <t>Khoa Sức khỏe môi trường-YTTH</t>
  </si>
  <si>
    <t>YTTH</t>
  </si>
  <si>
    <t>Huỳnh Thị Thúy Loan</t>
  </si>
  <si>
    <t>Phạm thị Chi Na</t>
  </si>
  <si>
    <t>Nguyễn Quang Nghị</t>
  </si>
  <si>
    <t>Lê Đức Hậu</t>
  </si>
  <si>
    <t>Võ Thị Duy Lệ</t>
  </si>
  <si>
    <t>Chu Việt Hùng</t>
  </si>
  <si>
    <t>Đặng Thị Kim Nguyên</t>
  </si>
  <si>
    <t>Trần Thị Đức Hạnh</t>
  </si>
  <si>
    <t>Hoàng Thị Tố Nguyên</t>
  </si>
  <si>
    <t>Nguyễn Thị Ngọc Hà</t>
  </si>
  <si>
    <t>Lê Hoàng Phúc</t>
  </si>
  <si>
    <t>Kiểm dịch y tế quốc tế</t>
  </si>
  <si>
    <t>Bùi Thức Thắng</t>
  </si>
  <si>
    <t>Phan Thị Thuý Liên</t>
  </si>
  <si>
    <t>Huỳnh Nữ Hương Quê</t>
  </si>
  <si>
    <t>Đỗ Thị Diệp</t>
  </si>
  <si>
    <t>Trương Thị Thu Dung</t>
  </si>
  <si>
    <t>Thái Viết Lợi</t>
  </si>
  <si>
    <t>Phan Văn Bửu</t>
  </si>
  <si>
    <t>Lê Dũng</t>
  </si>
  <si>
    <t>Nguyễn Thị Tuyết Anh</t>
  </si>
  <si>
    <t>Đặng Quang Tuyến</t>
  </si>
  <si>
    <t>Trương Tấn Lợi</t>
  </si>
  <si>
    <t>Huỳnh Quang Công</t>
  </si>
  <si>
    <t>Nguyễn Như Ý</t>
  </si>
  <si>
    <t>Nguyễn Văn Việt</t>
  </si>
  <si>
    <t>Nguyễn Thị Lành</t>
  </si>
  <si>
    <t>Tạ Thị Thu Hiên</t>
  </si>
  <si>
    <t>Hoàng Thị Kim Lợi</t>
  </si>
  <si>
    <t>Lê Thị Ánh Hồng</t>
  </si>
  <si>
    <t>Ngô Thị Tuyết Sương</t>
  </si>
  <si>
    <t>Võ Đông Giang</t>
  </si>
  <si>
    <t>Nguyễn Thị Kim Anh</t>
  </si>
  <si>
    <t>Tạ Đức Cương</t>
  </si>
  <si>
    <t>Dương Đức Hoàng</t>
  </si>
  <si>
    <t>Tô Việt Hưng</t>
  </si>
  <si>
    <t>Nguyễn Văn Lượng</t>
  </si>
  <si>
    <t>Phan Thanh Việt</t>
  </si>
  <si>
    <t>Phan Thị Hoài Thu</t>
  </si>
  <si>
    <t>Khoa Truyền thông - GDSK</t>
  </si>
  <si>
    <t>TT</t>
  </si>
  <si>
    <t>Trần Thị Trưởng Hoa</t>
  </si>
  <si>
    <t>Lê Thị Thùy An</t>
  </si>
  <si>
    <t>Nguyễn Viết Thạnh</t>
  </si>
  <si>
    <t>Nguyễn Hữu Quý</t>
  </si>
  <si>
    <t>Hồ Thị Tâm</t>
  </si>
  <si>
    <t>Ngô Thị Phước An</t>
  </si>
  <si>
    <t>Hoàng Thị Minh Hiền</t>
  </si>
  <si>
    <t>Nguyễn Thị Anh Thơ</t>
  </si>
  <si>
    <t>Nguyễn Đình Chinh</t>
  </si>
  <si>
    <t>Hồng Minh Hoa</t>
  </si>
  <si>
    <t>Huỳnh Thị Nguyệt</t>
  </si>
  <si>
    <t>Nguyễn Thái Dũng</t>
  </si>
  <si>
    <t>Phan Thị Yên</t>
  </si>
  <si>
    <t>Khoa Sức khỏe sinh sản</t>
  </si>
  <si>
    <t>SS</t>
  </si>
  <si>
    <t>Phạm Thị Kim Dung</t>
  </si>
  <si>
    <t>Dương Thị Mười</t>
  </si>
  <si>
    <t>Lê Thị Mỹ Dung</t>
  </si>
  <si>
    <t>Trần Thị Dạ Thảo</t>
  </si>
  <si>
    <t>Trương Thị Thuận</t>
  </si>
  <si>
    <t>Trần Thị Phi</t>
  </si>
  <si>
    <t>Hà Thị Diệu Yến</t>
  </si>
  <si>
    <t>Võ Thị Thu</t>
  </si>
  <si>
    <t>Võ Thị Kim Liên</t>
  </si>
  <si>
    <t>Trương Thị Cẩm Nguyên</t>
  </si>
  <si>
    <t>Đỗ Thị Kiều Chinh</t>
  </si>
  <si>
    <t>Lê Thị Vy</t>
  </si>
  <si>
    <t>Huỳnh Thị Thùy Hương</t>
  </si>
  <si>
    <t>Đặng Thị Mỹ Lệ</t>
  </si>
  <si>
    <t>Khoa PC HIV/AIDS</t>
  </si>
  <si>
    <t>Cao Minh Thông</t>
  </si>
  <si>
    <t>Nguyễn Khắc Huy</t>
  </si>
  <si>
    <t>Đỗ Trường Lưu</t>
  </si>
  <si>
    <t>Nguyễn Thị Lài</t>
  </si>
  <si>
    <t>Phạm Thị Tuyết Mai</t>
  </si>
  <si>
    <t>Huỳnh Thị Thu Thảo</t>
  </si>
  <si>
    <t>Bùi Thị Hàng Tơ</t>
  </si>
  <si>
    <t>Võ Thanh Tân</t>
  </si>
  <si>
    <t>Nguyễn Thị Lan Hương</t>
  </si>
  <si>
    <t>Lê Thị Mỹ Lợi</t>
  </si>
  <si>
    <t>Lê Thị Hằng</t>
  </si>
  <si>
    <t>Nguyễn Thị Thùy</t>
  </si>
  <si>
    <t>Nguyễn Thị Khuyên</t>
  </si>
  <si>
    <t>Phan Nguyễn Tường Quyên</t>
  </si>
  <si>
    <t>Nguyễn Anh Tuấn</t>
  </si>
  <si>
    <t>Phạm Văn Hưng</t>
  </si>
  <si>
    <t>Trần Quốc Toản</t>
  </si>
  <si>
    <t>Nguyễn Thị Ánh Hồng</t>
  </si>
  <si>
    <t>Bùi Ngọc Chương</t>
  </si>
  <si>
    <t>Mai Thị Thái Hoàng</t>
  </si>
  <si>
    <t>Cao Mai Phương</t>
  </si>
  <si>
    <t>Đặng Thị Quỳnh Anh</t>
  </si>
  <si>
    <t>Phan Thị Thùy Duyên</t>
  </si>
  <si>
    <t>Lê Quang Minh</t>
  </si>
  <si>
    <t>Phòng Khám đa khoa</t>
  </si>
  <si>
    <t>PK</t>
  </si>
  <si>
    <t>Trương Tấn Nam</t>
  </si>
  <si>
    <t>Đỗ Văn Lân</t>
  </si>
  <si>
    <t>Lê Thị Thanh Hoa</t>
  </si>
  <si>
    <t>Phạm Thị Bích Huệ</t>
  </si>
  <si>
    <t>Trần Hà Thái</t>
  </si>
  <si>
    <t>Đặng Thị Quỳnh Châu</t>
  </si>
  <si>
    <t>Nguyễn Thị Nguyệt</t>
  </si>
  <si>
    <t>Nguyễn Thị Hiền</t>
  </si>
  <si>
    <t>Trần Đình Vũ</t>
  </si>
  <si>
    <t>Trần Thị Thu Ba</t>
  </si>
  <si>
    <t>Nguyễn Thị Huyền</t>
  </si>
  <si>
    <t>Nguyễn Thị Thư</t>
  </si>
  <si>
    <t>Trần Thị Thanh</t>
  </si>
  <si>
    <t>Doãn Thị Minh Phước</t>
  </si>
  <si>
    <t>Lê Thị Mỹ Hạnh</t>
  </si>
  <si>
    <t>Huỳnh Thi Trúc Linh</t>
  </si>
  <si>
    <t>Lê Trần Thị Ái Châu</t>
  </si>
  <si>
    <t>Nguyễn Thị Thanh Nhất</t>
  </si>
  <si>
    <t>Nguyễn Thị Thủy</t>
  </si>
  <si>
    <t>Ma Thị Thu Hương</t>
  </si>
  <si>
    <t>Phạm Thị Ngọc Quỳnh</t>
  </si>
  <si>
    <t>Hoàng Nguyễn Âu Trân</t>
  </si>
  <si>
    <t>Nguyễn Thị Kim Thảo</t>
  </si>
  <si>
    <t>Đoạn Thị Thu</t>
  </si>
  <si>
    <t>Phổ Thị Ánh Hằng</t>
  </si>
  <si>
    <t>Đinh Thị Phương Thu</t>
  </si>
  <si>
    <t>Lê Thị Thanh Loan</t>
  </si>
  <si>
    <t>Nguyễn Thị Minh Chi</t>
  </si>
  <si>
    <t>Trần Thị Minh Thành</t>
  </si>
  <si>
    <t>Đỗ Thị Mai Loan</t>
  </si>
  <si>
    <t>Nguyễn Thị Thảo Ngọc</t>
  </si>
  <si>
    <t>Nguyễn Thị Thúy Ngân</t>
  </si>
  <si>
    <t>Đặng Thị Diệu My</t>
  </si>
  <si>
    <t>Huỳnh Đức Nghĩa</t>
  </si>
  <si>
    <t>Phạm Thị Hà</t>
  </si>
  <si>
    <t>Võ Duy Hưng</t>
  </si>
  <si>
    <t>Nguyễn Thị Thanh Hà</t>
  </si>
  <si>
    <t>Hoàng Ngọc Cảm</t>
  </si>
  <si>
    <t>Đơn vị cũ đánh giá</t>
  </si>
  <si>
    <t>về đơn vị tháng 2/2026</t>
  </si>
  <si>
    <t>Khoa Xét nghiệm-Chẩn đoán hình ảnh - Thăm dò chức năng</t>
  </si>
  <si>
    <t>XN-HIV</t>
  </si>
  <si>
    <t>Nguyễn Trường Duy</t>
  </si>
  <si>
    <t>XN-CLS</t>
  </si>
  <si>
    <t>Lê Trung Tám</t>
  </si>
  <si>
    <t>Huỳnh Thị Ngọc Điểm</t>
  </si>
  <si>
    <t>Nguyễn Thị Kim Liên</t>
  </si>
  <si>
    <t>Bùi Trung Kiên</t>
  </si>
  <si>
    <t>Dương Thị Ngọc Ánh</t>
  </si>
  <si>
    <t>Nguyễn Thị Thanh Thư</t>
  </si>
  <si>
    <t>Trần Thị Hà Tiên</t>
  </si>
  <si>
    <t>Lại Thị Ngọc Hạnh</t>
  </si>
  <si>
    <t>Nguyễn Thị Băng Giang</t>
  </si>
  <si>
    <t>Lê Duy Nhân</t>
  </si>
  <si>
    <t>XN-VR</t>
  </si>
  <si>
    <t>Doãn Thị Mỹ Ý</t>
  </si>
  <si>
    <t xml:space="preserve">Nguyễn  Tấn Đông </t>
  </si>
  <si>
    <t>Nguyễn Hoàng Ly Na</t>
  </si>
  <si>
    <t>Trần Thị Thu Thảo</t>
  </si>
  <si>
    <t>Đinh Văn Phúc</t>
  </si>
  <si>
    <t>Lê Thị Thanh Nga</t>
  </si>
  <si>
    <t>XN-HL</t>
  </si>
  <si>
    <t>Nguyễn Thị Hà</t>
  </si>
  <si>
    <t>Lê Thị Anh Phương</t>
  </si>
  <si>
    <t>Đặng Thị Ninh Châu</t>
  </si>
  <si>
    <t>Hà Thị Thu Hà</t>
  </si>
  <si>
    <t>Nguyễn Thị Thu Hiền</t>
  </si>
  <si>
    <t>XN-VS</t>
  </si>
  <si>
    <t>Nguyễn Thị Kim Loan</t>
  </si>
  <si>
    <t>Nguyễn Xuân Phú</t>
  </si>
  <si>
    <t>Phạm Viết Sơn</t>
  </si>
  <si>
    <t>Nguyễn Vân Thư</t>
  </si>
  <si>
    <t>XN-TP2</t>
  </si>
  <si>
    <t>Bùi Thị Minh Hải</t>
  </si>
  <si>
    <t>5620994561</t>
  </si>
  <si>
    <t xml:space="preserve">Nguyễn Thị Hoàng Trinh </t>
  </si>
  <si>
    <t>5620716181</t>
  </si>
  <si>
    <t xml:space="preserve">Huỳnh Thị Huyền </t>
  </si>
  <si>
    <t>5622849153</t>
  </si>
  <si>
    <t xml:space="preserve">Diệp Minh Hải </t>
  </si>
  <si>
    <t>5622848558</t>
  </si>
  <si>
    <t xml:space="preserve">Đinh Văn Đông </t>
  </si>
  <si>
    <t>5622848336</t>
  </si>
  <si>
    <t xml:space="preserve">Trịnh Nguyên Khánh Hòa </t>
  </si>
  <si>
    <t>5622849199</t>
  </si>
  <si>
    <t xml:space="preserve">Huỳnh Thị Hồng Trang </t>
  </si>
  <si>
    <t>5624589190</t>
  </si>
  <si>
    <t>Nguyễn Minh Tuấn</t>
  </si>
  <si>
    <t>Nguyễn Thái Hoài Bảo</t>
  </si>
  <si>
    <t>0977105312</t>
  </si>
  <si>
    <t>Nguyễn Thị Thúy Hà</t>
  </si>
  <si>
    <t>Huỳnh Văn Anh Thi</t>
  </si>
  <si>
    <t>Hoàng Hà Thu</t>
  </si>
  <si>
    <t>0356265138</t>
  </si>
  <si>
    <t>Huỳnh Thị Hiệp</t>
  </si>
  <si>
    <t>Võ Thị Nghĩa</t>
  </si>
  <si>
    <t>Hà Nguyễn Nhân Thảo</t>
  </si>
  <si>
    <t>Hồ Thị Ngà</t>
  </si>
  <si>
    <t>Trần Thị Hồng Ngọc</t>
  </si>
  <si>
    <t>Hồ Thị Thuỳ Trang</t>
  </si>
  <si>
    <t>Lê Mai Hoàng Thông</t>
  </si>
  <si>
    <t>Nguyễn Thanh Bình</t>
  </si>
  <si>
    <t>Võ Thị Tuyết Nhung</t>
  </si>
  <si>
    <t>Lâm Phùng Phong</t>
  </si>
  <si>
    <t>Nguyễn Thị Hoài Thu</t>
  </si>
  <si>
    <t>Phạm Thị Hiếu</t>
  </si>
  <si>
    <t>Võ Thị Mỹ Linh</t>
  </si>
  <si>
    <t>Phan Nhất Toàn</t>
  </si>
  <si>
    <t>Trần Thị Hồng Hạnh</t>
  </si>
  <si>
    <t>Lê Thị Thu Liễu</t>
  </si>
  <si>
    <t>Trần Thị Thu Hằng</t>
  </si>
  <si>
    <t>Khoa Dinh dưỡng</t>
  </si>
  <si>
    <t>DD</t>
  </si>
  <si>
    <t>Ngô Văn Quang</t>
  </si>
  <si>
    <t>Nguyễn Thị Hoàng Yến</t>
  </si>
  <si>
    <t>Trần Thị Hà</t>
  </si>
  <si>
    <t>Phan Thị Hoàng</t>
  </si>
  <si>
    <t>Vũ Ngọc Hoàng</t>
  </si>
  <si>
    <t>Thân Thị Bảy</t>
  </si>
  <si>
    <t>Nguyễn Thị Đệ</t>
  </si>
  <si>
    <t>Đỗ Thị Thùy Linh</t>
  </si>
  <si>
    <t>Lê Thị Vân</t>
  </si>
  <si>
    <t>Huỳnh Thị Thu Sương</t>
  </si>
  <si>
    <t>Phan Thị Phượng Vỹ</t>
  </si>
  <si>
    <t>Tổng cộng</t>
  </si>
  <si>
    <t>Viên chức Lê Thị Mỹ Hạnh: Hoàn thành tốt nhiệm vụ. Hệ số lương: 2,06. Số tiền chi thu nhập tăng thêm theo hệ số là: 4.338.360đ/quý. Mức tối thiểu theo Nghị quyết 52/NQ-HĐND 1.500.000đ/tháng. Điều chỉnh quí I/2026: 4.500.000đ</t>
  </si>
  <si>
    <t>Đà Nẵng, ngày 14 tháng 4 năm 2026</t>
  </si>
  <si>
    <t>Người lập bảng</t>
  </si>
  <si>
    <t>Kế toán trưởng</t>
  </si>
  <si>
    <t>Giám đốc</t>
  </si>
  <si>
    <t>Nguyễn Thị Bích Thủy</t>
  </si>
  <si>
    <t>vinhnd1@danang.gov.vn</t>
  </si>
  <si>
    <t>lethanhchung1965@gmail.com</t>
  </si>
  <si>
    <t>vthoangsr@gmail.com</t>
  </si>
  <si>
    <t>lient@danang.gov.vn</t>
  </si>
  <si>
    <t>luuman1975@gmail.com</t>
  </si>
  <si>
    <t>hoangvietcdc0710@gmail.com</t>
  </si>
  <si>
    <t>vietly81@gmail.com</t>
  </si>
  <si>
    <t>bichtram89dn@gmail.com</t>
  </si>
  <si>
    <t>dangthituyen88@gmail.com</t>
  </si>
  <si>
    <t>thu83ytdp@gmail.com</t>
  </si>
  <si>
    <t>tttvan080289@gmail.com</t>
  </si>
  <si>
    <t>hoangthudng@gmail.com</t>
  </si>
  <si>
    <t>laithihuyentrang@gmail.com</t>
  </si>
  <si>
    <t>truongngocsi.89@gmail.com</t>
  </si>
  <si>
    <t>havynguyen1987@gmail.com</t>
  </si>
  <si>
    <t>uyenltp@danang.gov.vn</t>
  </si>
  <si>
    <t>hoanntk@danang.gov.vn</t>
  </si>
  <si>
    <t>quynhtnn031188@gmail.com</t>
  </si>
  <si>
    <t>trangnvt@danang.gov.vn</t>
  </si>
  <si>
    <t>camntv@danang.gov.vn</t>
  </si>
  <si>
    <t>triht@danang.gov.vn</t>
  </si>
  <si>
    <t>phanchienthang.pct@gmail.com</t>
  </si>
  <si>
    <t>conghaiksbtdn@gmail.com</t>
  </si>
  <si>
    <t>hpquang2021@gmail.com</t>
  </si>
  <si>
    <t>binhttaids@gmail.com</t>
  </si>
  <si>
    <t>tvh1404@gmail.com</t>
  </si>
  <si>
    <t>thuphuongtv10@gmail.com</t>
  </si>
  <si>
    <t>thuykhanhlinh2007@gmail.com.vn</t>
  </si>
  <si>
    <t>phananhthu79@gmai.com</t>
  </si>
  <si>
    <t>sautam71@gmail.com</t>
  </si>
  <si>
    <t>lethimyphuong315@gmail.com</t>
  </si>
  <si>
    <t>thhieu704.mtd@gmail.com</t>
  </si>
  <si>
    <t>vietquoc8283@gmail.com</t>
  </si>
  <si>
    <t>yenlyphan2012@gmail.com</t>
  </si>
  <si>
    <t>thivankt@gmail.com</t>
  </si>
  <si>
    <t>thanhgiangt4g@gmail.com</t>
  </si>
  <si>
    <t>uyentran412@gmail.com</t>
  </si>
  <si>
    <t>Lientrancdc@gmail.com</t>
  </si>
  <si>
    <t>hangtrinh.1427@gmail.com</t>
  </si>
  <si>
    <t>lethivankieu88@gmail.com</t>
  </si>
  <si>
    <t>Menlethi1992@gmail.com</t>
  </si>
  <si>
    <t>mtthanhnga91@gmail.com</t>
  </si>
  <si>
    <t>htkd20@gmail.com</t>
  </si>
  <si>
    <t>tramlqd@gmail.com</t>
  </si>
  <si>
    <t>anhkimho@gmail.com</t>
  </si>
  <si>
    <t>Phamphuan1987@gmail.com</t>
  </si>
  <si>
    <t>tranvanvutk@gmail.com</t>
  </si>
  <si>
    <t>doichthanh87@gmail.com</t>
  </si>
  <si>
    <t>nguyenloicdcqnam@gmail.com</t>
  </si>
  <si>
    <t>chaugiang.dn1980@gmail.com</t>
  </si>
  <si>
    <t>xhoadng@gmail.com</t>
  </si>
  <si>
    <t>hoanpt.aidsdng@gmail.com</t>
  </si>
  <si>
    <t>vuthanhhuyen121176@gmail.com</t>
  </si>
  <si>
    <t>Chautram1412@gmail.com</t>
  </si>
  <si>
    <t>hothisuongytcc@gmail.com</t>
  </si>
  <si>
    <t>thaolynguyen1409@gmail.com</t>
  </si>
  <si>
    <t>phanninaxn@gmail.com</t>
  </si>
  <si>
    <t>Thanhtuhuynhqn@gmail.com</t>
  </si>
  <si>
    <t>phannguyentralinh1998@gmail.com</t>
  </si>
  <si>
    <t>mr.thaidv@gmail.com</t>
  </si>
  <si>
    <t>hclhcl0@gmail.com</t>
  </si>
  <si>
    <t>hienltt11@danang.gov.vn</t>
  </si>
  <si>
    <t>hothanhtung09sh@gmail.com</t>
  </si>
  <si>
    <t>lamquynh2512@gmail.com</t>
  </si>
  <si>
    <t>lamthinhanh@gmail.com</t>
  </si>
  <si>
    <t>mtkchinh@gmail.com</t>
  </si>
  <si>
    <t>minhloan2891991@gmail.com</t>
  </si>
  <si>
    <t>lethithuytien.cnsh1995@gmail.com</t>
  </si>
  <si>
    <t>huongthita@gmail.com</t>
  </si>
  <si>
    <t>dangngocanhdn114@gmail.com</t>
  </si>
  <si>
    <t>quanganh302098@gmail.com</t>
  </si>
  <si>
    <t>kimphu7998@gmail.com</t>
  </si>
  <si>
    <t>thucuyen.021@gmail.com</t>
  </si>
  <si>
    <t>hathu16081993@gmail.com</t>
  </si>
  <si>
    <t>phuongthaolethi1892@gmail.com</t>
  </si>
  <si>
    <t>annguyenytdp@gmail.com</t>
  </si>
  <si>
    <t>ntanhbinh@gmail.com</t>
  </si>
  <si>
    <t>dothuha7789@gmail.com</t>
  </si>
  <si>
    <t>hiepnguyen1811ptv@gmail.com</t>
  </si>
  <si>
    <t>daophucnguyen316@gmail.com</t>
  </si>
  <si>
    <t>chauduoccdc@gmail.com</t>
  </si>
  <si>
    <t>hagiang120582@gmail.com</t>
  </si>
  <si>
    <t>nguyendinhquang79@gmai.com</t>
  </si>
  <si>
    <t>phuongkhanhpham80@gmail.com</t>
  </si>
  <si>
    <t>thanhhang220474@gmail.com</t>
  </si>
  <si>
    <t>tinhskssqn@gmail.com</t>
  </si>
  <si>
    <t>nguyettran1277@gmail.com</t>
  </si>
  <si>
    <t>thanhphucdc2510@gmail.com</t>
  </si>
  <si>
    <t>thuydtqnam@gmail.com</t>
  </si>
  <si>
    <t>vanthiyen.duoc@gmail.com</t>
  </si>
  <si>
    <t>tothisach.220572@gmail.com</t>
  </si>
  <si>
    <t>diepcdc2025@gmail.com</t>
  </si>
  <si>
    <t>kimqui630@gmail.com</t>
  </si>
  <si>
    <t>xuanhuong1510@gmail.com</t>
  </si>
  <si>
    <t>thlongpharmacist@gmail.com</t>
  </si>
  <si>
    <t>Ngapharmacist89@gmail</t>
  </si>
  <si>
    <t>hnhattan.95@gmail.com</t>
  </si>
  <si>
    <t>huynhbathanh29@gmail.com</t>
  </si>
  <si>
    <t>vanluongthibich5@gmail.com</t>
  </si>
  <si>
    <t>locleboy88@gmail.com</t>
  </si>
  <si>
    <t>chaugdskktnn@gmail.com</t>
  </si>
  <si>
    <t>mypham1966@gmail.com</t>
  </si>
  <si>
    <t>dqanh103@gmail.com</t>
  </si>
  <si>
    <t>truc1210@gmail.com</t>
  </si>
  <si>
    <t>yena178@gmail.com</t>
  </si>
  <si>
    <t>baoquyen0102@gmail.com</t>
  </si>
  <si>
    <t>thinam.dnpm@gmail.com</t>
  </si>
  <si>
    <t>trangcdcqnam@gmail.com</t>
  </si>
  <si>
    <t>yennguyenpre@gmail.com</t>
  </si>
  <si>
    <t>vinhhaosrbcqn@gmail.com</t>
  </si>
  <si>
    <t>loan.ttm@cdcquangnam.vn</t>
  </si>
  <si>
    <t>trunghieumed@gmail.com</t>
  </si>
  <si>
    <t>vunguyenthienthaco@gmail.com</t>
  </si>
  <si>
    <t>phamduyphuongnhi@gmail.com</t>
  </si>
  <si>
    <t>dung3.27.2.1997@gmail.com</t>
  </si>
  <si>
    <t>thuyngannguyen2012@gmail.com</t>
  </si>
  <si>
    <t>chautrinhthoaqn@gmail.com</t>
  </si>
  <si>
    <t>mai177khoi@gmail.com</t>
  </si>
  <si>
    <t>t4gchau@gmail.com</t>
  </si>
  <si>
    <t>baongoc1102@gmail.com</t>
  </si>
  <si>
    <t>nguyenthiphuongbisaka1978@gmail.com</t>
  </si>
  <si>
    <t>longcanht4g@gmail.com</t>
  </si>
  <si>
    <t>drnguyenminhtuan@gmail.com</t>
  </si>
  <si>
    <t>nguyenhanhdt79@gmail.com</t>
  </si>
  <si>
    <t>dothanhtuyen0611@gmail.com</t>
  </si>
  <si>
    <t>Lethilanh692@gmail.com</t>
  </si>
  <si>
    <t>Duyenmai1703@gmail.com</t>
  </si>
  <si>
    <t>nguyenthuthao014@gmail.com</t>
  </si>
  <si>
    <t>hoainhu1071995@gmail.com</t>
  </si>
  <si>
    <t>Trandamthinh@gmail.com</t>
  </si>
  <si>
    <t>kimoanhtran83@gmail.com</t>
  </si>
  <si>
    <t>pttm989@gmail.com</t>
  </si>
  <si>
    <t>tiennn5@danang.gov.vn</t>
  </si>
  <si>
    <t>tycomtk@gmail.com</t>
  </si>
  <si>
    <t>duongquocthaotk92@gmail.com</t>
  </si>
  <si>
    <t>bsninhntm@gmail.con</t>
  </si>
  <si>
    <t>bsphuoc1977@gmail.com</t>
  </si>
  <si>
    <t>nguyenducvinh1982dn@gmail.com</t>
  </si>
  <si>
    <t>phanthanh299@gmail.com</t>
  </si>
  <si>
    <t>khoidam88@gmail.com</t>
  </si>
  <si>
    <t>haunesta@gmail.com</t>
  </si>
  <si>
    <t>phansyminh92@gmail.com</t>
  </si>
  <si>
    <t>nguyenthingocbich103tt@gmail.com</t>
  </si>
  <si>
    <t>duongammau@gmail.com</t>
  </si>
  <si>
    <t>doanbnndng@gmail.com</t>
  </si>
  <si>
    <t>vietnhi638@gmail.com</t>
  </si>
  <si>
    <t>thanhnguyenhuu86@gmail.com</t>
  </si>
  <si>
    <t>trakehoachcdc@gmail.com</t>
  </si>
  <si>
    <t>bnncdcdng@gmail.com</t>
  </si>
  <si>
    <t>thanhhuong260485@gmail.com</t>
  </si>
  <si>
    <t>ctytthqnam@gmail.com</t>
  </si>
  <si>
    <t>hoangnham83@gmail.com</t>
  </si>
  <si>
    <t>hothanhnhat111@gmail.com</t>
  </si>
  <si>
    <t>tcgiahuy@gmail.com</t>
  </si>
  <si>
    <t>Trungtinhdn95@gmail.com</t>
  </si>
  <si>
    <t>hoangminhhuy94@gmail.com</t>
  </si>
  <si>
    <t>sunflower22280@gmail.com</t>
  </si>
  <si>
    <t>thuyloan.skmt@gmail.com</t>
  </si>
  <si>
    <t>china06c1@gmail.com</t>
  </si>
  <si>
    <t>nghi0401@gmail.com</t>
  </si>
  <si>
    <t>duchau010295@gmail.com</t>
  </si>
  <si>
    <t>vothiduyle@gmail.com</t>
  </si>
  <si>
    <t>cvh22hung@gmail.com</t>
  </si>
  <si>
    <t>nguyenkimdang84@gmail.com</t>
  </si>
  <si>
    <t>chaukhanh1512@gmail.com</t>
  </si>
  <si>
    <t>nguyentoenv@gmail.com</t>
  </si>
  <si>
    <t>gnoudha@gmail.com</t>
  </si>
  <si>
    <t>hoangphuckdqt@gmail.com</t>
  </si>
  <si>
    <t>Thangcdcdna@gmail.com</t>
  </si>
  <si>
    <t>lienkdqt@gmail.com</t>
  </si>
  <si>
    <t>Que89kdqt@gmail.com</t>
  </si>
  <si>
    <t>diepdo286@gmail.com</t>
  </si>
  <si>
    <t>thudung.drpm@gmail.com</t>
  </si>
  <si>
    <t>thaivietloikdqt@gmail.com</t>
  </si>
  <si>
    <t>phanbuu72@gmail.com</t>
  </si>
  <si>
    <t>ledungkdqt@gmail.com</t>
  </si>
  <si>
    <t>tuyetanhkdytcdcdanang@gmail.com</t>
  </si>
  <si>
    <t>tuyendangquang@gmail.com</t>
  </si>
  <si>
    <t>loitkqn1985@gmail.com</t>
  </si>
  <si>
    <t>cucong117@gmail.com</t>
  </si>
  <si>
    <t>nhuyytdp@gmail.com</t>
  </si>
  <si>
    <t>vanviet121942510@gmail.com</t>
  </si>
  <si>
    <t>lanhkdytqt2014@gmail.com</t>
  </si>
  <si>
    <t>thuhienkdqt84@gmail.com</t>
  </si>
  <si>
    <t>kimloi10291@gmail.com</t>
  </si>
  <si>
    <t>hongkdqt@gmail.com</t>
  </si>
  <si>
    <t>tuyetsuong0406@gmail.com</t>
  </si>
  <si>
    <t>giangvokdqt@gmail.com</t>
  </si>
  <si>
    <t>kimanh16102911@gmail.com</t>
  </si>
  <si>
    <t>Taduccuong90@gmail.com</t>
  </si>
  <si>
    <t>duongduchoang70@gmail.com</t>
  </si>
  <si>
    <t>Toviethung1990@gmail.com</t>
  </si>
  <si>
    <t>Nguyenvluong1991@gmail.com</t>
  </si>
  <si>
    <t>Pt.viet2310@gmail.com</t>
  </si>
  <si>
    <t>hoaithu30504@gmail.com</t>
  </si>
  <si>
    <t>truonghoa2chau@gmail.com</t>
  </si>
  <si>
    <t>thuyan659@gmail.com</t>
  </si>
  <si>
    <t>Nguyenvietthanh016@gmail.com</t>
  </si>
  <si>
    <t>quynhat.76.82@gmail.com</t>
  </si>
  <si>
    <t>hotam78@gmail.com</t>
  </si>
  <si>
    <t>phuocant4g@gmail.com</t>
  </si>
  <si>
    <t>hoangminhhien4@gmail.com</t>
  </si>
  <si>
    <t>anhthotai@gmail.com</t>
  </si>
  <si>
    <t>dinhchinhnguyen231982@gmail.com</t>
  </si>
  <si>
    <t>hongminhhoa88@gmail.com</t>
  </si>
  <si>
    <t>nguyetquangnam57@gmail.com</t>
  </si>
  <si>
    <t>nguyenthaidung281985@gmail.com</t>
  </si>
  <si>
    <t>yennasmile@gmail.com</t>
  </si>
  <si>
    <t>phamkimdung70@gmail.com</t>
  </si>
  <si>
    <t>duongmuoi81973@gmail.com</t>
  </si>
  <si>
    <t>lethimydung5@gmail.com</t>
  </si>
  <si>
    <t>dathaotran0403@gmail.com</t>
  </si>
  <si>
    <t>truongbichthuan069@gmail.com</t>
  </si>
  <si>
    <t>phitrandn276@gmail.com</t>
  </si>
  <si>
    <t>hadieuyen@gmail.com</t>
  </si>
  <si>
    <t>thuvohuy75@gmail.com</t>
  </si>
  <si>
    <t>vokimlien07@gmail.com</t>
  </si>
  <si>
    <t>camnguyendn123@gmail.com</t>
  </si>
  <si>
    <t>dokieuchinhcdc@gmail.com</t>
  </si>
  <si>
    <t xml:space="preserve">lethivy169@gmail.com </t>
  </si>
  <si>
    <t>thuyhuongskss.dn@gmail.com</t>
  </si>
  <si>
    <t>dangthimyle1985@gmail.com</t>
  </si>
  <si>
    <t>huydichte@gmail.com</t>
  </si>
  <si>
    <t>truongluu74@gmail.com</t>
  </si>
  <si>
    <t>lai.nguyenthi84@gmail.com</t>
  </si>
  <si>
    <t>thaomai372@gmail.com</t>
  </si>
  <si>
    <t>huynhthaodt@gmail.com</t>
  </si>
  <si>
    <t>cobala050691@gmail.com</t>
  </si>
  <si>
    <t>thanhtan280291@gmail.com</t>
  </si>
  <si>
    <t>lanhuongcdcqna@gmail.com</t>
  </si>
  <si>
    <t>myloi010383@gmail.com</t>
  </si>
  <si>
    <t>bslehang1981@gmail.com</t>
  </si>
  <si>
    <t>thuy.dp0915@gmail.com</t>
  </si>
  <si>
    <t>nguyenkhuyen102014@gmail.com</t>
  </si>
  <si>
    <t>quyenphan2506@gmail.com</t>
  </si>
  <si>
    <t>nguyenanhtuan.ytcc@gmail.com</t>
  </si>
  <si>
    <t>hungkdqt@gmail.com</t>
  </si>
  <si>
    <t>toanquoctran73@gmail,com</t>
  </si>
  <si>
    <t>nguyenanhhong1980qv@gmail.com</t>
  </si>
  <si>
    <t>chuong.vipdn@gmail.com</t>
  </si>
  <si>
    <t>maithaihoang575@gmail.com</t>
  </si>
  <si>
    <t>caomaiphuong94@gmail.com</t>
  </si>
  <si>
    <t>quynhanh8586@gmail.com</t>
  </si>
  <si>
    <t>thuyduyen1404@gmail.com</t>
  </si>
  <si>
    <t>quangminh163@gmail.com</t>
  </si>
  <si>
    <t>namtrt.aidsdn@gmail.com</t>
  </si>
  <si>
    <t>landovan69@gmail.com</t>
  </si>
  <si>
    <t>nalehoa@gmail.com</t>
  </si>
  <si>
    <t>hienhoanghue@gmail.com</t>
  </si>
  <si>
    <t>hathai284@gmail.com</t>
  </si>
  <si>
    <t>chaudang78@gmail.com</t>
  </si>
  <si>
    <t>nguyennguyet20021970@gmail.com</t>
  </si>
  <si>
    <t>hiennguyenthi27041975@gmail.com</t>
  </si>
  <si>
    <t>tdvu76@gmail.com</t>
  </si>
  <si>
    <t>tranthithuba1973@gmail.com</t>
  </si>
  <si>
    <t>nhshuyen@gmail.com</t>
  </si>
  <si>
    <t>nguyenthithuskssqn@gmail.com</t>
  </si>
  <si>
    <t>tranthitothanh0510@gmail.com</t>
  </si>
  <si>
    <t>doanminhphuoc1985@gmail.com</t>
  </si>
  <si>
    <t>lethimyhanh16102038@gmail.com</t>
  </si>
  <si>
    <t>truclinhqna14@gmail.com</t>
  </si>
  <si>
    <t>lttac1995@gamil.com</t>
  </si>
  <si>
    <t>Thanhnhatyte@gmail.com</t>
  </si>
  <si>
    <t>thuythuydp123@gmail.com</t>
  </si>
  <si>
    <t>maihuong199101@gmail.com</t>
  </si>
  <si>
    <t>quynhquynh683@gmail.com</t>
  </si>
  <si>
    <t>hoangnguyenautran@gmail.com</t>
  </si>
  <si>
    <t>kimthao27101988@gmail.com</t>
  </si>
  <si>
    <t>doanthu2013@gmail.com</t>
  </si>
  <si>
    <t>phohang050315@gmail.com</t>
  </si>
  <si>
    <t>phuongthu1112@gmail.com</t>
  </si>
  <si>
    <t>loanle21021986@gmail.com</t>
  </si>
  <si>
    <t>nguyenthiminhchi1990@gmail.com</t>
  </si>
  <si>
    <t>tt9622104@gmail.com</t>
  </si>
  <si>
    <t>dtmloan88@gmail.com</t>
  </si>
  <si>
    <t>nguyenngoc215@gmail.com</t>
  </si>
  <si>
    <t>nganskssdn92@gmail.com</t>
  </si>
  <si>
    <t>dangthidieumy51@gmail.com</t>
  </si>
  <si>
    <t>nghia164@gmail.com</t>
  </si>
  <si>
    <t>ha010588.qn@gmail.com</t>
  </si>
  <si>
    <t>voduyhung1601@gmail.com</t>
  </si>
  <si>
    <t>Thanhha79911@gmail.com</t>
  </si>
  <si>
    <t>nguyentruongduyqn@gmail.com</t>
  </si>
  <si>
    <t>tamnhan27@gmail.com</t>
  </si>
  <si>
    <t>ngdiemha@gmail.com</t>
  </si>
  <si>
    <t>kimliennguyen1541970@gmail.com</t>
  </si>
  <si>
    <t>kienalkaza@gmail.com</t>
  </si>
  <si>
    <t>ngocanhqnam@gmail.com</t>
  </si>
  <si>
    <t>thanhthu218@gmail.com</t>
  </si>
  <si>
    <t>hatien021091@gmail.com</t>
  </si>
  <si>
    <t>ngochanh250493@gmail.com</t>
  </si>
  <si>
    <t>bgiang1201@gmail.com</t>
  </si>
  <si>
    <t>duynhan18102016@gmail.com</t>
  </si>
  <si>
    <t>doanthimyy1991@gmail.com</t>
  </si>
  <si>
    <t>nguyentandongxn@gmail.com</t>
  </si>
  <si>
    <t>nguyenhoanglyna189@gmail.com</t>
  </si>
  <si>
    <t>thaogs91@gmail.com</t>
  </si>
  <si>
    <t>phucxetnghiem@gmail.com</t>
  </si>
  <si>
    <t>lengaxn@gmail.com</t>
  </si>
  <si>
    <t>hanguyen.280174@gmail.com</t>
  </si>
  <si>
    <t>Phuongcanada2021@gmail.com</t>
  </si>
  <si>
    <t>ninhchau08@gmail.com</t>
  </si>
  <si>
    <t>hathuha82@gmail.com</t>
  </si>
  <si>
    <t>hienntt1084@gmail.com</t>
  </si>
  <si>
    <t>loan190004@gmail.com</t>
  </si>
  <si>
    <t>123buocddeu@gmail.com</t>
  </si>
  <si>
    <t>Phamvietson01@gmail.com</t>
  </si>
  <si>
    <t>vanthunguyen2000@gmail.com</t>
  </si>
  <si>
    <t>minhhai8587@gmail.com</t>
  </si>
  <si>
    <t>nguyenthihoangtrinh25@gmail.com</t>
  </si>
  <si>
    <t>huyenhuynh83@gmail.com</t>
  </si>
  <si>
    <t>haiytdpquangnam@gmail.com</t>
  </si>
  <si>
    <t>dongdinhvanytdpqn@gmail,com</t>
  </si>
  <si>
    <t>tnkhanhhoa@gmail.com</t>
  </si>
  <si>
    <t>001trang100@gmail.com</t>
  </si>
  <si>
    <t>tuannm3@danang.gov.vn</t>
  </si>
  <si>
    <t>nguyenthaihoaibao@gmail.com</t>
  </si>
  <si>
    <t>nguyenthithuyhaqb@gmail.com</t>
  </si>
  <si>
    <t>huynhvananhthi@gmail.com</t>
  </si>
  <si>
    <t>thuhoang026@gmail.com</t>
  </si>
  <si>
    <t>hiephuynh14.01@gmail.com</t>
  </si>
  <si>
    <t>vonghiaqn@gmail.com</t>
  </si>
  <si>
    <t>nhanthao1412@gmail.com</t>
  </si>
  <si>
    <t>hothinga171091@gmail.com</t>
  </si>
  <si>
    <t>tranhongngoc775@gmail.com</t>
  </si>
  <si>
    <t>hothuytrang1807@gmail.com</t>
  </si>
  <si>
    <t>hoangthonglemai@gmail.com</t>
  </si>
  <si>
    <t>nguyenbinhkdyt@gmail.com</t>
  </si>
  <si>
    <t>votuyetnhung.bk@gmail.com</t>
  </si>
  <si>
    <t>lamphungphong189@gmail.com</t>
  </si>
  <si>
    <t>nguyenhoaithu211088@gmail.com</t>
  </si>
  <si>
    <t>phamthihieuxn36B@gmail.com</t>
  </si>
  <si>
    <t>linhvtm1991@gmail.com</t>
  </si>
  <si>
    <t>nhattoana252@gmail.com</t>
  </si>
  <si>
    <t>lihuyen2810@gmail.com</t>
  </si>
  <si>
    <t>thulieu.210486@gmail.com</t>
  </si>
  <si>
    <t>Thuhang221187@gmail.com</t>
  </si>
  <si>
    <t>ngovanquang.dng@gmail.com</t>
  </si>
  <si>
    <t>yeens81@gmail.com</t>
  </si>
  <si>
    <t>tranthiha171179@gmail.com</t>
  </si>
  <si>
    <t>hoangphan7890@gmail.com</t>
  </si>
  <si>
    <t>Vungochoangtk@gmail.com</t>
  </si>
  <si>
    <t>bay.tt@cdcquangnam.vn</t>
  </si>
  <si>
    <t>nguyenthidecdc@gmail.com</t>
  </si>
  <si>
    <t>dolinhytcc@gmail.com</t>
  </si>
  <si>
    <t>lethivanbsyhdp@gmail.com</t>
  </si>
  <si>
    <t>htts101089@gmail.com</t>
  </si>
  <si>
    <t>phuongvyphan87@gmail.com</t>
  </si>
  <si>
    <t>minhthongqnam@gmail.com</t>
  </si>
  <si>
    <t>drngoccam@gmail.com</t>
  </si>
  <si>
    <t>Kết quả xếp loại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</si>
</sst>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164" formatCode="_(* #,##0.00_);_(* \(#,##0.00\);_(* &quot;-&quot;??_);_(@_)"/>
    <numFmt numFmtId="165" formatCode="#,##0.000"/>
    <numFmt numFmtId="166" formatCode="000000000"/>
    <numFmt numFmtId="167" formatCode="#,##0.0"/>
    <numFmt numFmtId="168" formatCode="_(* #,##0.0_);_(* \(#,##0.0\);_(* &quot;-&quot;??_);_(@_)"/>
    <numFmt numFmtId="169" formatCode="#.##0"/>
    <numFmt numFmtId="170" formatCode="_(* #,##0.00_);_(* \(#,##0.00\);_(* &quot;-&quot;_);_(@_)"/>
    <numFmt numFmtId="171" formatCode="_(* #,##0_);_(* \(#,##0\);_(* &quot;-&quot;??_);_(@_)"/>
    <numFmt numFmtId="172" formatCode="#,##0.000_);\(#,##0.000\)"/>
    <numFmt numFmtId="173" formatCode="#,##0.0_);\(#,##0.0\)"/>
  </numFmts>
  <fonts count="17" x14ac:knownFonts="1">
    <font>
      <sz val="11"/>
      <color theme="1"/>
      <name val="Calibri"/>
      <family val="2"/>
      <charset val="163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1"/>
      <name val="Times New Roman"/>
      <family val="1"/>
    </font>
    <font>
      <b/>
      <sz val="11"/>
      <name val="Times New Roman"/>
      <family val="1"/>
    </font>
    <font>
      <b/>
      <u/>
      <sz val="11"/>
      <name val="Times New Roman"/>
      <family val="1"/>
    </font>
    <font>
      <sz val="10"/>
      <name val="Arial"/>
      <family val="2"/>
    </font>
    <font>
      <sz val="11"/>
      <color rgb="FFFF0000"/>
      <name val="Times New Roman"/>
      <family val="1"/>
    </font>
    <font>
      <sz val="11"/>
      <color rgb="FF00B0F0"/>
      <name val="Times New Roman"/>
      <family val="1"/>
    </font>
    <font>
      <sz val="11"/>
      <color theme="1"/>
      <name val="Times New Roman"/>
      <family val="1"/>
    </font>
    <font>
      <b/>
      <sz val="10"/>
      <color theme="1"/>
      <name val="Times New Roman"/>
      <family val="1"/>
    </font>
    <font>
      <sz val="12"/>
      <name val="Times New Roman"/>
      <family val="1"/>
    </font>
    <font>
      <b/>
      <sz val="14"/>
      <name val="Times New Roman"/>
      <family val="1"/>
    </font>
    <font>
      <sz val="14"/>
      <name val="Times New Roman"/>
      <family val="1"/>
    </font>
    <font>
      <b/>
      <sz val="9"/>
      <color indexed="81"/>
      <name val="Tahoma"/>
      <family val="2"/>
    </font>
    <font>
      <sz val="9"/>
      <color indexed="81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9">
    <xf numFmtId="0" fontId="0" fillId="0" borderId="0"/>
    <xf numFmtId="0" fontId="2" fillId="0" borderId="0"/>
    <xf numFmtId="3" fontId="4" fillId="0" borderId="0"/>
    <xf numFmtId="0" fontId="7" fillId="0" borderId="0"/>
    <xf numFmtId="0" fontId="7" fillId="0" borderId="0"/>
    <xf numFmtId="0" fontId="7" fillId="0" borderId="0"/>
    <xf numFmtId="164" fontId="1" fillId="0" borderId="0" applyFont="0" applyFill="0" applyBorder="0" applyAlignment="0" applyProtection="0"/>
    <xf numFmtId="169" fontId="7" fillId="0" borderId="0" applyFont="0" applyFill="0" applyBorder="0" applyAlignment="0" applyProtection="0"/>
    <xf numFmtId="0" fontId="12" fillId="0" borderId="0"/>
  </cellStyleXfs>
  <cellXfs count="180">
    <xf numFmtId="0" fontId="0" fillId="0" borderId="0" xfId="0"/>
    <xf numFmtId="0" fontId="3" fillId="2" borderId="0" xfId="1" applyFont="1" applyFill="1"/>
    <xf numFmtId="3" fontId="4" fillId="2" borderId="0" xfId="2" applyFill="1"/>
    <xf numFmtId="3" fontId="4" fillId="2" borderId="0" xfId="2" applyFill="1" applyAlignment="1">
      <alignment horizontal="center"/>
    </xf>
    <xf numFmtId="3" fontId="4" fillId="2" borderId="0" xfId="2" applyFill="1" applyAlignment="1">
      <alignment horizontal="right"/>
    </xf>
    <xf numFmtId="165" fontId="4" fillId="2" borderId="0" xfId="2" applyNumberFormat="1" applyFill="1" applyAlignment="1">
      <alignment horizontal="right"/>
    </xf>
    <xf numFmtId="3" fontId="5" fillId="2" borderId="0" xfId="2" applyFont="1" applyFill="1" applyAlignment="1">
      <alignment horizontal="center"/>
    </xf>
    <xf numFmtId="0" fontId="2" fillId="0" borderId="0" xfId="1"/>
    <xf numFmtId="3" fontId="6" fillId="2" borderId="0" xfId="2" applyFont="1" applyFill="1" applyAlignment="1">
      <alignment horizontal="center"/>
    </xf>
    <xf numFmtId="3" fontId="5" fillId="2" borderId="0" xfId="2" applyFont="1" applyFill="1" applyAlignment="1">
      <alignment horizontal="center" vertical="center"/>
    </xf>
    <xf numFmtId="3" fontId="4" fillId="2" borderId="0" xfId="2" applyFill="1" applyAlignment="1">
      <alignment vertical="center"/>
    </xf>
    <xf numFmtId="3" fontId="4" fillId="2" borderId="0" xfId="2" applyFill="1" applyAlignment="1">
      <alignment horizontal="right" vertical="center"/>
    </xf>
    <xf numFmtId="3" fontId="4" fillId="2" borderId="0" xfId="2" applyFill="1" applyAlignment="1">
      <alignment horizontal="center" vertical="center"/>
    </xf>
    <xf numFmtId="165" fontId="4" fillId="2" borderId="0" xfId="2" applyNumberFormat="1" applyFill="1" applyAlignment="1">
      <alignment horizontal="right" vertical="center"/>
    </xf>
    <xf numFmtId="3" fontId="5" fillId="2" borderId="1" xfId="2" applyFont="1" applyFill="1" applyBorder="1" applyAlignment="1">
      <alignment horizontal="center" vertical="center"/>
    </xf>
    <xf numFmtId="3" fontId="5" fillId="2" borderId="0" xfId="2" applyFont="1" applyFill="1" applyAlignment="1">
      <alignment horizontal="center" vertical="center" wrapText="1"/>
    </xf>
    <xf numFmtId="3" fontId="5" fillId="2" borderId="2" xfId="2" applyFont="1" applyFill="1" applyBorder="1" applyAlignment="1">
      <alignment horizontal="center" vertical="center" wrapText="1"/>
    </xf>
    <xf numFmtId="3" fontId="5" fillId="2" borderId="9" xfId="2" applyFont="1" applyFill="1" applyBorder="1" applyAlignment="1">
      <alignment horizontal="center" vertical="center"/>
    </xf>
    <xf numFmtId="166" fontId="5" fillId="2" borderId="9" xfId="2" applyNumberFormat="1" applyFont="1" applyFill="1" applyBorder="1" applyAlignment="1">
      <alignment horizontal="right" vertical="center"/>
    </xf>
    <xf numFmtId="4" fontId="5" fillId="2" borderId="10" xfId="2" applyNumberFormat="1" applyFont="1" applyFill="1" applyBorder="1" applyAlignment="1">
      <alignment vertical="center" wrapText="1"/>
    </xf>
    <xf numFmtId="4" fontId="5" fillId="2" borderId="10" xfId="2" applyNumberFormat="1" applyFont="1" applyFill="1" applyBorder="1" applyAlignment="1">
      <alignment horizontal="center" vertical="center" wrapText="1"/>
    </xf>
    <xf numFmtId="3" fontId="5" fillId="2" borderId="9" xfId="2" applyFont="1" applyFill="1" applyBorder="1" applyAlignment="1">
      <alignment horizontal="center" vertical="center" wrapText="1"/>
    </xf>
    <xf numFmtId="3" fontId="5" fillId="2" borderId="9" xfId="2" applyFont="1" applyFill="1" applyBorder="1" applyAlignment="1">
      <alignment horizontal="left" vertical="center"/>
    </xf>
    <xf numFmtId="4" fontId="5" fillId="2" borderId="9" xfId="2" applyNumberFormat="1" applyFont="1" applyFill="1" applyBorder="1" applyAlignment="1">
      <alignment horizontal="center" vertical="center" wrapText="1"/>
    </xf>
    <xf numFmtId="165" fontId="5" fillId="2" borderId="10" xfId="2" applyNumberFormat="1" applyFont="1" applyFill="1" applyBorder="1" applyAlignment="1">
      <alignment horizontal="center" vertical="center"/>
    </xf>
    <xf numFmtId="167" fontId="5" fillId="2" borderId="10" xfId="2" applyNumberFormat="1" applyFont="1" applyFill="1" applyBorder="1" applyAlignment="1">
      <alignment horizontal="right" vertical="center"/>
    </xf>
    <xf numFmtId="167" fontId="5" fillId="2" borderId="9" xfId="2" applyNumberFormat="1" applyFont="1" applyFill="1" applyBorder="1" applyAlignment="1">
      <alignment horizontal="right" vertical="center"/>
    </xf>
    <xf numFmtId="167" fontId="5" fillId="2" borderId="9" xfId="2" applyNumberFormat="1" applyFont="1" applyFill="1" applyBorder="1" applyAlignment="1">
      <alignment horizontal="center" vertical="center"/>
    </xf>
    <xf numFmtId="3" fontId="5" fillId="2" borderId="10" xfId="2" applyFont="1" applyFill="1" applyBorder="1" applyAlignment="1">
      <alignment horizontal="center" vertical="center" wrapText="1"/>
    </xf>
    <xf numFmtId="3" fontId="4" fillId="2" borderId="10" xfId="2" applyFill="1" applyBorder="1" applyAlignment="1">
      <alignment horizontal="center" vertical="center"/>
    </xf>
    <xf numFmtId="0" fontId="4" fillId="2" borderId="10" xfId="3" applyFont="1" applyFill="1" applyBorder="1" applyAlignment="1">
      <alignment vertical="center"/>
    </xf>
    <xf numFmtId="0" fontId="4" fillId="2" borderId="10" xfId="3" applyFont="1" applyFill="1" applyBorder="1" applyAlignment="1">
      <alignment horizontal="right" vertical="center"/>
    </xf>
    <xf numFmtId="4" fontId="4" fillId="2" borderId="10" xfId="3" applyNumberFormat="1" applyFont="1" applyFill="1" applyBorder="1" applyAlignment="1">
      <alignment horizontal="right" vertical="center"/>
    </xf>
    <xf numFmtId="165" fontId="4" fillId="2" borderId="10" xfId="3" applyNumberFormat="1" applyFont="1" applyFill="1" applyBorder="1" applyAlignment="1">
      <alignment horizontal="center" vertical="center"/>
    </xf>
    <xf numFmtId="167" fontId="4" fillId="2" borderId="10" xfId="3" applyNumberFormat="1" applyFont="1" applyFill="1" applyBorder="1" applyAlignment="1">
      <alignment horizontal="right" vertical="center"/>
    </xf>
    <xf numFmtId="167" fontId="4" fillId="2" borderId="10" xfId="3" applyNumberFormat="1" applyFont="1" applyFill="1" applyBorder="1" applyAlignment="1">
      <alignment horizontal="center" vertical="center"/>
    </xf>
    <xf numFmtId="3" fontId="5" fillId="2" borderId="10" xfId="2" applyFont="1" applyFill="1" applyBorder="1" applyAlignment="1">
      <alignment horizontal="right" vertical="center" wrapText="1"/>
    </xf>
    <xf numFmtId="4" fontId="4" fillId="2" borderId="10" xfId="2" applyNumberFormat="1" applyFill="1" applyBorder="1" applyAlignment="1">
      <alignment vertical="center" wrapText="1"/>
    </xf>
    <xf numFmtId="3" fontId="4" fillId="2" borderId="11" xfId="1" applyNumberFormat="1" applyFont="1" applyFill="1" applyBorder="1" applyAlignment="1">
      <alignment horizontal="left" vertical="center" wrapText="1"/>
    </xf>
    <xf numFmtId="0" fontId="4" fillId="2" borderId="11" xfId="1" applyFont="1" applyFill="1" applyBorder="1" applyAlignment="1">
      <alignment horizontal="right" vertical="center" wrapText="1"/>
    </xf>
    <xf numFmtId="4" fontId="4" fillId="2" borderId="11" xfId="1" applyNumberFormat="1" applyFont="1" applyFill="1" applyBorder="1" applyAlignment="1">
      <alignment horizontal="right" vertical="center" wrapText="1"/>
    </xf>
    <xf numFmtId="165" fontId="4" fillId="2" borderId="11" xfId="3" applyNumberFormat="1" applyFont="1" applyFill="1" applyBorder="1" applyAlignment="1">
      <alignment horizontal="center" vertical="center"/>
    </xf>
    <xf numFmtId="167" fontId="4" fillId="2" borderId="11" xfId="3" applyNumberFormat="1" applyFont="1" applyFill="1" applyBorder="1" applyAlignment="1">
      <alignment horizontal="right" vertical="center"/>
    </xf>
    <xf numFmtId="4" fontId="4" fillId="3" borderId="11" xfId="1" applyNumberFormat="1" applyFont="1" applyFill="1" applyBorder="1" applyAlignment="1">
      <alignment horizontal="right" vertical="center" wrapText="1"/>
    </xf>
    <xf numFmtId="0" fontId="5" fillId="2" borderId="10" xfId="3" applyFont="1" applyFill="1" applyBorder="1" applyAlignment="1">
      <alignment vertical="center"/>
    </xf>
    <xf numFmtId="0" fontId="8" fillId="2" borderId="10" xfId="3" applyFont="1" applyFill="1" applyBorder="1" applyAlignment="1">
      <alignment vertical="center"/>
    </xf>
    <xf numFmtId="0" fontId="8" fillId="2" borderId="10" xfId="1" applyFont="1" applyFill="1" applyBorder="1" applyAlignment="1">
      <alignment vertical="center" wrapText="1"/>
    </xf>
    <xf numFmtId="0" fontId="4" fillId="2" borderId="10" xfId="1" applyFont="1" applyFill="1" applyBorder="1" applyAlignment="1">
      <alignment horizontal="right" vertical="center" wrapText="1"/>
    </xf>
    <xf numFmtId="0" fontId="4" fillId="2" borderId="10" xfId="1" applyFont="1" applyFill="1" applyBorder="1" applyAlignment="1">
      <alignment horizontal="right" vertical="center"/>
    </xf>
    <xf numFmtId="0" fontId="8" fillId="2" borderId="10" xfId="3" applyFont="1" applyFill="1" applyBorder="1" applyAlignment="1">
      <alignment vertical="center" wrapText="1"/>
    </xf>
    <xf numFmtId="0" fontId="8" fillId="2" borderId="10" xfId="1" applyFont="1" applyFill="1" applyBorder="1" applyAlignment="1">
      <alignment horizontal="left" vertical="center" wrapText="1"/>
    </xf>
    <xf numFmtId="4" fontId="4" fillId="3" borderId="10" xfId="1" applyNumberFormat="1" applyFont="1" applyFill="1" applyBorder="1" applyAlignment="1">
      <alignment horizontal="right" vertical="center" wrapText="1"/>
    </xf>
    <xf numFmtId="4" fontId="4" fillId="2" borderId="10" xfId="1" applyNumberFormat="1" applyFont="1" applyFill="1" applyBorder="1" applyAlignment="1">
      <alignment horizontal="right" vertical="center" wrapText="1"/>
    </xf>
    <xf numFmtId="2" fontId="4" fillId="2" borderId="10" xfId="1" applyNumberFormat="1" applyFont="1" applyFill="1" applyBorder="1" applyAlignment="1">
      <alignment horizontal="right" vertical="center"/>
    </xf>
    <xf numFmtId="1" fontId="4" fillId="2" borderId="3" xfId="4" quotePrefix="1" applyNumberFormat="1" applyFont="1" applyFill="1" applyBorder="1" applyAlignment="1">
      <alignment horizontal="right" vertical="center"/>
    </xf>
    <xf numFmtId="1" fontId="4" fillId="2" borderId="10" xfId="1" applyNumberFormat="1" applyFont="1" applyFill="1" applyBorder="1" applyAlignment="1">
      <alignment horizontal="right"/>
    </xf>
    <xf numFmtId="4" fontId="4" fillId="2" borderId="10" xfId="1" applyNumberFormat="1" applyFont="1" applyFill="1" applyBorder="1" applyAlignment="1">
      <alignment horizontal="center" vertical="center"/>
    </xf>
    <xf numFmtId="1" fontId="4" fillId="2" borderId="10" xfId="1" quotePrefix="1" applyNumberFormat="1" applyFont="1" applyFill="1" applyBorder="1" applyAlignment="1">
      <alignment horizontal="right" vertical="center"/>
    </xf>
    <xf numFmtId="2" fontId="4" fillId="2" borderId="10" xfId="1" applyNumberFormat="1" applyFont="1" applyFill="1" applyBorder="1" applyAlignment="1">
      <alignment horizontal="center" vertical="center"/>
    </xf>
    <xf numFmtId="1" fontId="4" fillId="2" borderId="10" xfId="1" applyNumberFormat="1" applyFont="1" applyFill="1" applyBorder="1" applyAlignment="1">
      <alignment horizontal="right" vertical="center"/>
    </xf>
    <xf numFmtId="0" fontId="8" fillId="2" borderId="10" xfId="1" applyFont="1" applyFill="1" applyBorder="1" applyAlignment="1">
      <alignment horizontal="left" vertical="center"/>
    </xf>
    <xf numFmtId="4" fontId="4" fillId="3" borderId="10" xfId="3" applyNumberFormat="1" applyFont="1" applyFill="1" applyBorder="1" applyAlignment="1">
      <alignment horizontal="right" vertical="center"/>
    </xf>
    <xf numFmtId="0" fontId="4" fillId="2" borderId="10" xfId="1" applyFont="1" applyFill="1" applyBorder="1" applyAlignment="1">
      <alignment horizontal="left" vertical="center" wrapText="1"/>
    </xf>
    <xf numFmtId="0" fontId="4" fillId="0" borderId="10" xfId="0" applyFont="1" applyBorder="1" applyAlignment="1">
      <alignment horizontal="left" vertical="center" wrapText="1"/>
    </xf>
    <xf numFmtId="0" fontId="4" fillId="2" borderId="10" xfId="3" applyFont="1" applyFill="1" applyBorder="1" applyAlignment="1">
      <alignment vertical="center" wrapText="1"/>
    </xf>
    <xf numFmtId="0" fontId="4" fillId="0" borderId="10" xfId="5" applyFont="1" applyBorder="1" applyAlignment="1">
      <alignment horizontal="left" vertical="center" wrapText="1"/>
    </xf>
    <xf numFmtId="0" fontId="4" fillId="2" borderId="10" xfId="5" applyFont="1" applyFill="1" applyBorder="1" applyAlignment="1">
      <alignment vertical="center" wrapText="1"/>
    </xf>
    <xf numFmtId="0" fontId="4" fillId="2" borderId="10" xfId="5" applyFont="1" applyFill="1" applyBorder="1" applyAlignment="1">
      <alignment horizontal="right" vertical="center" wrapText="1"/>
    </xf>
    <xf numFmtId="0" fontId="8" fillId="0" borderId="10" xfId="3" applyFont="1" applyBorder="1" applyAlignment="1">
      <alignment vertical="center" wrapText="1"/>
    </xf>
    <xf numFmtId="165" fontId="9" fillId="2" borderId="10" xfId="3" applyNumberFormat="1" applyFont="1" applyFill="1" applyBorder="1" applyAlignment="1">
      <alignment horizontal="center" vertical="center"/>
    </xf>
    <xf numFmtId="3" fontId="4" fillId="2" borderId="10" xfId="1" applyNumberFormat="1" applyFont="1" applyFill="1" applyBorder="1" applyAlignment="1">
      <alignment horizontal="left" vertical="center" wrapText="1"/>
    </xf>
    <xf numFmtId="0" fontId="10" fillId="0" borderId="10" xfId="3" applyFont="1" applyBorder="1" applyAlignment="1">
      <alignment vertical="center"/>
    </xf>
    <xf numFmtId="165" fontId="4" fillId="0" borderId="10" xfId="3" applyNumberFormat="1" applyFont="1" applyBorder="1" applyAlignment="1">
      <alignment horizontal="center" vertical="center"/>
    </xf>
    <xf numFmtId="0" fontId="4" fillId="0" borderId="10" xfId="5" applyFont="1" applyBorder="1" applyAlignment="1">
      <alignment horizontal="left" vertical="center"/>
    </xf>
    <xf numFmtId="0" fontId="10" fillId="0" borderId="10" xfId="3" applyFont="1" applyBorder="1" applyAlignment="1">
      <alignment vertical="center" wrapText="1"/>
    </xf>
    <xf numFmtId="0" fontId="4" fillId="0" borderId="10" xfId="3" applyFont="1" applyBorder="1" applyAlignment="1">
      <alignment vertical="center"/>
    </xf>
    <xf numFmtId="0" fontId="4" fillId="2" borderId="10" xfId="1" applyFont="1" applyFill="1" applyBorder="1" applyAlignment="1">
      <alignment vertical="center" wrapText="1"/>
    </xf>
    <xf numFmtId="0" fontId="4" fillId="0" borderId="10" xfId="3" applyFont="1" applyBorder="1" applyAlignment="1">
      <alignment vertical="center" wrapText="1"/>
    </xf>
    <xf numFmtId="2" fontId="4" fillId="2" borderId="10" xfId="1" applyNumberFormat="1" applyFont="1" applyFill="1" applyBorder="1" applyAlignment="1">
      <alignment horizontal="right" vertical="center" wrapText="1"/>
    </xf>
    <xf numFmtId="3" fontId="4" fillId="0" borderId="10" xfId="0" applyNumberFormat="1" applyFont="1" applyBorder="1" applyAlignment="1">
      <alignment horizontal="left" vertical="center" wrapText="1"/>
    </xf>
    <xf numFmtId="3" fontId="4" fillId="2" borderId="10" xfId="1" applyNumberFormat="1" applyFont="1" applyFill="1" applyBorder="1" applyAlignment="1">
      <alignment vertical="center" wrapText="1"/>
    </xf>
    <xf numFmtId="4" fontId="4" fillId="2" borderId="10" xfId="1" applyNumberFormat="1" applyFont="1" applyFill="1" applyBorder="1" applyAlignment="1">
      <alignment horizontal="center" vertical="center" wrapText="1"/>
    </xf>
    <xf numFmtId="4" fontId="4" fillId="2" borderId="10" xfId="3" applyNumberFormat="1" applyFont="1" applyFill="1" applyBorder="1" applyAlignment="1">
      <alignment horizontal="center" vertical="center"/>
    </xf>
    <xf numFmtId="0" fontId="4" fillId="2" borderId="10" xfId="5" applyFont="1" applyFill="1" applyBorder="1" applyAlignment="1">
      <alignment horizontal="left" vertical="center" wrapText="1"/>
    </xf>
    <xf numFmtId="0" fontId="4" fillId="2" borderId="10" xfId="5" applyFont="1" applyFill="1" applyBorder="1" applyAlignment="1">
      <alignment horizontal="center" vertical="center" wrapText="1"/>
    </xf>
    <xf numFmtId="4" fontId="4" fillId="3" borderId="10" xfId="3" applyNumberFormat="1" applyFont="1" applyFill="1" applyBorder="1" applyAlignment="1">
      <alignment horizontal="center" vertical="center"/>
    </xf>
    <xf numFmtId="0" fontId="4" fillId="2" borderId="10" xfId="5" applyFont="1" applyFill="1" applyBorder="1" applyAlignment="1">
      <alignment horizontal="center" vertical="center"/>
    </xf>
    <xf numFmtId="0" fontId="4" fillId="2" borderId="10" xfId="1" applyFont="1" applyFill="1" applyBorder="1" applyAlignment="1">
      <alignment vertical="center"/>
    </xf>
    <xf numFmtId="168" fontId="4" fillId="2" borderId="10" xfId="6" applyNumberFormat="1" applyFont="1" applyFill="1" applyBorder="1" applyAlignment="1">
      <alignment horizontal="center" vertical="center"/>
    </xf>
    <xf numFmtId="0" fontId="4" fillId="2" borderId="10" xfId="1" applyFont="1" applyFill="1" applyBorder="1" applyAlignment="1">
      <alignment horizontal="left" vertical="center"/>
    </xf>
    <xf numFmtId="0" fontId="4" fillId="2" borderId="2" xfId="1" applyFont="1" applyFill="1" applyBorder="1" applyAlignment="1">
      <alignment vertical="center" wrapText="1"/>
    </xf>
    <xf numFmtId="2" fontId="4" fillId="3" borderId="10" xfId="5" applyNumberFormat="1" applyFont="1" applyFill="1" applyBorder="1" applyAlignment="1">
      <alignment horizontal="right" vertical="center" wrapText="1"/>
    </xf>
    <xf numFmtId="2" fontId="4" fillId="2" borderId="10" xfId="5" applyNumberFormat="1" applyFont="1" applyFill="1" applyBorder="1" applyAlignment="1">
      <alignment horizontal="right" vertical="center" wrapText="1"/>
    </xf>
    <xf numFmtId="4" fontId="4" fillId="2" borderId="10" xfId="1" applyNumberFormat="1" applyFont="1" applyFill="1" applyBorder="1" applyAlignment="1">
      <alignment horizontal="right" vertical="center"/>
    </xf>
    <xf numFmtId="170" fontId="4" fillId="2" borderId="10" xfId="7" applyNumberFormat="1" applyFont="1" applyFill="1" applyBorder="1" applyAlignment="1">
      <alignment horizontal="right" vertical="center"/>
    </xf>
    <xf numFmtId="0" fontId="4" fillId="2" borderId="10" xfId="5" applyFont="1" applyFill="1" applyBorder="1" applyAlignment="1">
      <alignment horizontal="right"/>
    </xf>
    <xf numFmtId="0" fontId="4" fillId="3" borderId="10" xfId="5" applyFont="1" applyFill="1" applyBorder="1" applyAlignment="1">
      <alignment horizontal="right" vertical="center"/>
    </xf>
    <xf numFmtId="0" fontId="4" fillId="2" borderId="10" xfId="5" applyFont="1" applyFill="1" applyBorder="1" applyAlignment="1">
      <alignment horizontal="right" vertical="center"/>
    </xf>
    <xf numFmtId="0" fontId="4" fillId="3" borderId="10" xfId="1" applyFont="1" applyFill="1" applyBorder="1" applyAlignment="1">
      <alignment horizontal="right" vertical="center" wrapText="1"/>
    </xf>
    <xf numFmtId="1" fontId="4" fillId="2" borderId="10" xfId="1" applyNumberFormat="1" applyFont="1" applyFill="1" applyBorder="1" applyAlignment="1">
      <alignment horizontal="right" vertical="center" wrapText="1"/>
    </xf>
    <xf numFmtId="0" fontId="8" fillId="2" borderId="10" xfId="5" applyFont="1" applyFill="1" applyBorder="1" applyAlignment="1">
      <alignment horizontal="left" vertical="center" wrapText="1"/>
    </xf>
    <xf numFmtId="0" fontId="8" fillId="2" borderId="10" xfId="5" applyFont="1" applyFill="1" applyBorder="1" applyAlignment="1">
      <alignment horizontal="left" vertical="center"/>
    </xf>
    <xf numFmtId="3" fontId="8" fillId="2" borderId="10" xfId="1" applyNumberFormat="1" applyFont="1" applyFill="1" applyBorder="1" applyAlignment="1">
      <alignment vertical="center" wrapText="1"/>
    </xf>
    <xf numFmtId="3" fontId="8" fillId="2" borderId="10" xfId="1" applyNumberFormat="1" applyFont="1" applyFill="1" applyBorder="1" applyAlignment="1">
      <alignment horizontal="left" vertical="center" wrapText="1"/>
    </xf>
    <xf numFmtId="0" fontId="8" fillId="2" borderId="10" xfId="5" applyFont="1" applyFill="1" applyBorder="1" applyAlignment="1">
      <alignment vertical="center" wrapText="1"/>
    </xf>
    <xf numFmtId="2" fontId="4" fillId="3" borderId="10" xfId="1" applyNumberFormat="1" applyFont="1" applyFill="1" applyBorder="1" applyAlignment="1">
      <alignment horizontal="right" vertical="center" wrapText="1"/>
    </xf>
    <xf numFmtId="0" fontId="4" fillId="2" borderId="10" xfId="5" applyFont="1" applyFill="1" applyBorder="1" applyAlignment="1">
      <alignment horizontal="center"/>
    </xf>
    <xf numFmtId="4" fontId="4" fillId="3" borderId="10" xfId="1" applyNumberFormat="1" applyFont="1" applyFill="1" applyBorder="1" applyAlignment="1">
      <alignment horizontal="right" vertical="center"/>
    </xf>
    <xf numFmtId="0" fontId="3" fillId="3" borderId="0" xfId="1" applyFont="1" applyFill="1"/>
    <xf numFmtId="3" fontId="5" fillId="3" borderId="0" xfId="2" applyFont="1" applyFill="1" applyAlignment="1">
      <alignment horizontal="center" vertical="center" wrapText="1"/>
    </xf>
    <xf numFmtId="3" fontId="5" fillId="3" borderId="10" xfId="2" applyFont="1" applyFill="1" applyBorder="1" applyAlignment="1">
      <alignment horizontal="center" vertical="center" wrapText="1"/>
    </xf>
    <xf numFmtId="3" fontId="4" fillId="3" borderId="10" xfId="2" applyFill="1" applyBorder="1" applyAlignment="1">
      <alignment horizontal="center" vertical="center"/>
    </xf>
    <xf numFmtId="0" fontId="4" fillId="3" borderId="10" xfId="3" applyFont="1" applyFill="1" applyBorder="1" applyAlignment="1">
      <alignment vertical="center" wrapText="1"/>
    </xf>
    <xf numFmtId="0" fontId="4" fillId="3" borderId="10" xfId="3" applyFont="1" applyFill="1" applyBorder="1" applyAlignment="1">
      <alignment horizontal="right" vertical="center"/>
    </xf>
    <xf numFmtId="0" fontId="11" fillId="2" borderId="10" xfId="0" applyFont="1" applyFill="1" applyBorder="1" applyAlignment="1">
      <alignment horizontal="center" vertical="center" wrapText="1"/>
    </xf>
    <xf numFmtId="0" fontId="2" fillId="3" borderId="0" xfId="1" applyFill="1"/>
    <xf numFmtId="0" fontId="5" fillId="2" borderId="10" xfId="3" applyFont="1" applyFill="1" applyBorder="1" applyAlignment="1">
      <alignment vertical="center" wrapText="1"/>
    </xf>
    <xf numFmtId="0" fontId="4" fillId="3" borderId="10" xfId="5" applyFont="1" applyFill="1" applyBorder="1" applyAlignment="1">
      <alignment horizontal="right" vertical="center" wrapText="1"/>
    </xf>
    <xf numFmtId="2" fontId="4" fillId="2" borderId="10" xfId="5" applyNumberFormat="1" applyFont="1" applyFill="1" applyBorder="1" applyAlignment="1">
      <alignment horizontal="right" vertical="center"/>
    </xf>
    <xf numFmtId="0" fontId="4" fillId="2" borderId="10" xfId="1" quotePrefix="1" applyFont="1" applyFill="1" applyBorder="1" applyAlignment="1">
      <alignment horizontal="right" vertical="center" wrapText="1"/>
    </xf>
    <xf numFmtId="0" fontId="8" fillId="2" borderId="10" xfId="8" applyFont="1" applyFill="1" applyBorder="1"/>
    <xf numFmtId="0" fontId="4" fillId="2" borderId="10" xfId="1" quotePrefix="1" applyFont="1" applyFill="1" applyBorder="1" applyAlignment="1">
      <alignment horizontal="right"/>
    </xf>
    <xf numFmtId="0" fontId="8" fillId="2" borderId="10" xfId="8" applyFont="1" applyFill="1" applyBorder="1" applyAlignment="1">
      <alignment vertical="center" wrapText="1"/>
    </xf>
    <xf numFmtId="1" fontId="4" fillId="2" borderId="10" xfId="1" quotePrefix="1" applyNumberFormat="1" applyFont="1" applyFill="1" applyBorder="1" applyAlignment="1">
      <alignment horizontal="right"/>
    </xf>
    <xf numFmtId="3" fontId="4" fillId="2" borderId="2" xfId="2" applyFill="1" applyBorder="1" applyAlignment="1">
      <alignment horizontal="center" vertical="center"/>
    </xf>
    <xf numFmtId="0" fontId="4" fillId="2" borderId="2" xfId="1" applyFont="1" applyFill="1" applyBorder="1" applyAlignment="1">
      <alignment horizontal="left" vertical="center" wrapText="1"/>
    </xf>
    <xf numFmtId="0" fontId="4" fillId="2" borderId="2" xfId="1" applyFont="1" applyFill="1" applyBorder="1" applyAlignment="1">
      <alignment horizontal="right" vertical="center" wrapText="1"/>
    </xf>
    <xf numFmtId="4" fontId="4" fillId="2" borderId="2" xfId="1" applyNumberFormat="1" applyFont="1" applyFill="1" applyBorder="1" applyAlignment="1">
      <alignment horizontal="right" vertical="center" wrapText="1"/>
    </xf>
    <xf numFmtId="0" fontId="5" fillId="2" borderId="10" xfId="3" applyFont="1" applyFill="1" applyBorder="1" applyAlignment="1">
      <alignment horizontal="right" vertical="center"/>
    </xf>
    <xf numFmtId="4" fontId="5" fillId="2" borderId="10" xfId="3" applyNumberFormat="1" applyFont="1" applyFill="1" applyBorder="1" applyAlignment="1">
      <alignment horizontal="right" vertical="center"/>
    </xf>
    <xf numFmtId="165" fontId="5" fillId="2" borderId="10" xfId="3" applyNumberFormat="1" applyFont="1" applyFill="1" applyBorder="1" applyAlignment="1">
      <alignment horizontal="right" vertical="center"/>
    </xf>
    <xf numFmtId="167" fontId="5" fillId="2" borderId="10" xfId="3" applyNumberFormat="1" applyFont="1" applyFill="1" applyBorder="1" applyAlignment="1">
      <alignment horizontal="center" vertical="center"/>
    </xf>
    <xf numFmtId="3" fontId="5" fillId="2" borderId="10" xfId="3" applyNumberFormat="1" applyFont="1" applyFill="1" applyBorder="1" applyAlignment="1">
      <alignment horizontal="right" vertical="center"/>
    </xf>
    <xf numFmtId="3" fontId="5" fillId="2" borderId="0" xfId="2" applyFont="1" applyFill="1"/>
    <xf numFmtId="171" fontId="5" fillId="2" borderId="7" xfId="6" applyNumberFormat="1" applyFont="1" applyFill="1" applyBorder="1" applyAlignment="1">
      <alignment vertical="center"/>
    </xf>
    <xf numFmtId="39" fontId="5" fillId="2" borderId="0" xfId="6" applyNumberFormat="1" applyFont="1" applyFill="1" applyBorder="1" applyAlignment="1">
      <alignment horizontal="right" vertical="center"/>
    </xf>
    <xf numFmtId="39" fontId="5" fillId="2" borderId="0" xfId="6" applyNumberFormat="1" applyFont="1" applyFill="1" applyBorder="1" applyAlignment="1">
      <alignment horizontal="center" vertical="center"/>
    </xf>
    <xf numFmtId="171" fontId="13" fillId="2" borderId="0" xfId="6" applyNumberFormat="1" applyFont="1" applyFill="1" applyBorder="1" applyAlignment="1">
      <alignment horizontal="center" vertical="center"/>
    </xf>
    <xf numFmtId="39" fontId="13" fillId="2" borderId="0" xfId="6" applyNumberFormat="1" applyFont="1" applyFill="1" applyBorder="1" applyAlignment="1">
      <alignment horizontal="right" vertical="center"/>
    </xf>
    <xf numFmtId="39" fontId="13" fillId="2" borderId="0" xfId="6" applyNumberFormat="1" applyFont="1" applyFill="1" applyBorder="1" applyAlignment="1">
      <alignment horizontal="center" vertical="center"/>
    </xf>
    <xf numFmtId="0" fontId="13" fillId="2" borderId="0" xfId="3" applyFont="1" applyFill="1" applyAlignment="1">
      <alignment horizontal="right" vertical="center"/>
    </xf>
    <xf numFmtId="0" fontId="3" fillId="2" borderId="0" xfId="1" applyFont="1" applyFill="1" applyAlignment="1">
      <alignment horizontal="center"/>
    </xf>
    <xf numFmtId="172" fontId="13" fillId="2" borderId="0" xfId="6" applyNumberFormat="1" applyFont="1" applyFill="1" applyBorder="1" applyAlignment="1">
      <alignment horizontal="right" vertical="center"/>
    </xf>
    <xf numFmtId="171" fontId="13" fillId="2" borderId="0" xfId="6" applyNumberFormat="1" applyFont="1" applyFill="1" applyBorder="1" applyAlignment="1">
      <alignment horizontal="right" vertical="center"/>
    </xf>
    <xf numFmtId="173" fontId="13" fillId="2" borderId="0" xfId="6" applyNumberFormat="1" applyFont="1" applyFill="1" applyBorder="1" applyAlignment="1">
      <alignment horizontal="right" vertical="center"/>
    </xf>
    <xf numFmtId="173" fontId="5" fillId="2" borderId="0" xfId="6" applyNumberFormat="1" applyFont="1" applyFill="1" applyBorder="1" applyAlignment="1">
      <alignment horizontal="right" vertical="center"/>
    </xf>
    <xf numFmtId="3" fontId="5" fillId="2" borderId="0" xfId="2" applyFont="1" applyFill="1" applyAlignment="1">
      <alignment horizontal="right" vertical="center" wrapText="1"/>
    </xf>
    <xf numFmtId="171" fontId="5" fillId="2" borderId="0" xfId="6" applyNumberFormat="1" applyFont="1" applyFill="1" applyBorder="1" applyAlignment="1">
      <alignment horizontal="right" vertical="center"/>
    </xf>
    <xf numFmtId="0" fontId="13" fillId="2" borderId="0" xfId="2" applyNumberFormat="1" applyFont="1" applyFill="1" applyAlignment="1">
      <alignment horizontal="center"/>
    </xf>
    <xf numFmtId="165" fontId="13" fillId="2" borderId="0" xfId="2" applyNumberFormat="1" applyFont="1" applyFill="1" applyAlignment="1">
      <alignment horizontal="right"/>
    </xf>
    <xf numFmtId="4" fontId="13" fillId="2" borderId="0" xfId="2" applyNumberFormat="1" applyFont="1" applyFill="1" applyAlignment="1">
      <alignment horizontal="center"/>
    </xf>
    <xf numFmtId="4" fontId="5" fillId="2" borderId="0" xfId="2" applyNumberFormat="1" applyFont="1" applyFill="1" applyAlignment="1">
      <alignment horizontal="center"/>
    </xf>
    <xf numFmtId="3" fontId="13" fillId="2" borderId="0" xfId="2" applyFont="1" applyFill="1" applyAlignment="1">
      <alignment horizontal="center"/>
    </xf>
    <xf numFmtId="3" fontId="13" fillId="2" borderId="0" xfId="2" applyFont="1" applyFill="1" applyAlignment="1">
      <alignment horizontal="right"/>
    </xf>
    <xf numFmtId="4" fontId="14" fillId="2" borderId="0" xfId="2" applyNumberFormat="1" applyFont="1" applyFill="1" applyAlignment="1">
      <alignment horizontal="center"/>
    </xf>
    <xf numFmtId="165" fontId="13" fillId="2" borderId="0" xfId="2" applyNumberFormat="1" applyFont="1" applyFill="1"/>
    <xf numFmtId="4" fontId="14" fillId="2" borderId="0" xfId="2" applyNumberFormat="1" applyFont="1" applyFill="1"/>
    <xf numFmtId="4" fontId="4" fillId="2" borderId="0" xfId="2" applyNumberFormat="1" applyFill="1"/>
    <xf numFmtId="0" fontId="3" fillId="2" borderId="0" xfId="1" applyFont="1" applyFill="1" applyAlignment="1">
      <alignment horizontal="right"/>
    </xf>
    <xf numFmtId="4" fontId="4" fillId="2" borderId="10" xfId="5" applyNumberFormat="1" applyFont="1" applyFill="1" applyBorder="1" applyAlignment="1">
      <alignment horizontal="right" vertical="center" wrapText="1"/>
    </xf>
    <xf numFmtId="3" fontId="5" fillId="2" borderId="0" xfId="2" applyFont="1" applyFill="1" applyAlignment="1">
      <alignment horizontal="center"/>
    </xf>
    <xf numFmtId="3" fontId="6" fillId="2" borderId="0" xfId="2" applyFont="1" applyFill="1" applyAlignment="1">
      <alignment horizontal="center"/>
    </xf>
    <xf numFmtId="3" fontId="5" fillId="2" borderId="0" xfId="2" applyFont="1" applyFill="1" applyAlignment="1">
      <alignment horizontal="center" vertical="center"/>
    </xf>
    <xf numFmtId="3" fontId="5" fillId="2" borderId="2" xfId="2" applyFont="1" applyFill="1" applyBorder="1" applyAlignment="1">
      <alignment horizontal="center" vertical="center"/>
    </xf>
    <xf numFmtId="3" fontId="5" fillId="2" borderId="9" xfId="2" applyFont="1" applyFill="1" applyBorder="1" applyAlignment="1">
      <alignment horizontal="center" vertical="center"/>
    </xf>
    <xf numFmtId="166" fontId="5" fillId="2" borderId="2" xfId="2" applyNumberFormat="1" applyFont="1" applyFill="1" applyBorder="1" applyAlignment="1">
      <alignment horizontal="right" vertical="center"/>
    </xf>
    <xf numFmtId="166" fontId="5" fillId="2" borderId="9" xfId="2" applyNumberFormat="1" applyFont="1" applyFill="1" applyBorder="1" applyAlignment="1">
      <alignment horizontal="right" vertical="center"/>
    </xf>
    <xf numFmtId="4" fontId="5" fillId="2" borderId="3" xfId="2" applyNumberFormat="1" applyFont="1" applyFill="1" applyBorder="1" applyAlignment="1">
      <alignment horizontal="center" vertical="center" wrapText="1"/>
    </xf>
    <xf numFmtId="4" fontId="5" fillId="2" borderId="4" xfId="2" applyNumberFormat="1" applyFont="1" applyFill="1" applyBorder="1" applyAlignment="1">
      <alignment horizontal="center" vertical="center" wrapText="1"/>
    </xf>
    <xf numFmtId="4" fontId="5" fillId="2" borderId="5" xfId="2" applyNumberFormat="1" applyFont="1" applyFill="1" applyBorder="1" applyAlignment="1">
      <alignment horizontal="center" vertical="center" wrapText="1"/>
    </xf>
    <xf numFmtId="0" fontId="13" fillId="2" borderId="0" xfId="2" applyNumberFormat="1" applyFont="1" applyFill="1" applyAlignment="1">
      <alignment horizontal="center"/>
    </xf>
    <xf numFmtId="165" fontId="13" fillId="2" borderId="0" xfId="2" applyNumberFormat="1" applyFont="1" applyFill="1" applyAlignment="1">
      <alignment horizontal="center"/>
    </xf>
    <xf numFmtId="4" fontId="5" fillId="2" borderId="6" xfId="2" applyNumberFormat="1" applyFont="1" applyFill="1" applyBorder="1" applyAlignment="1">
      <alignment horizontal="center" vertical="center"/>
    </xf>
    <xf numFmtId="4" fontId="5" fillId="2" borderId="7" xfId="2" applyNumberFormat="1" applyFont="1" applyFill="1" applyBorder="1" applyAlignment="1">
      <alignment horizontal="center" vertical="center"/>
    </xf>
    <xf numFmtId="4" fontId="5" fillId="2" borderId="8" xfId="2" applyNumberFormat="1" applyFont="1" applyFill="1" applyBorder="1" applyAlignment="1">
      <alignment horizontal="center" vertical="center"/>
    </xf>
    <xf numFmtId="3" fontId="5" fillId="2" borderId="2" xfId="2" applyFont="1" applyFill="1" applyBorder="1" applyAlignment="1">
      <alignment horizontal="center" vertical="center" wrapText="1"/>
    </xf>
    <xf numFmtId="3" fontId="5" fillId="2" borderId="9" xfId="2" applyFont="1" applyFill="1" applyBorder="1" applyAlignment="1">
      <alignment horizontal="center" vertical="center" wrapText="1"/>
    </xf>
    <xf numFmtId="171" fontId="13" fillId="2" borderId="0" xfId="6" applyNumberFormat="1" applyFont="1" applyFill="1" applyBorder="1" applyAlignment="1">
      <alignment horizontal="center" vertical="center"/>
    </xf>
    <xf numFmtId="39" fontId="13" fillId="2" borderId="0" xfId="6" applyNumberFormat="1" applyFont="1" applyFill="1" applyBorder="1" applyAlignment="1">
      <alignment horizontal="center" vertical="center"/>
    </xf>
    <xf numFmtId="4" fontId="5" fillId="2" borderId="10" xfId="2" applyNumberFormat="1" applyFont="1" applyFill="1" applyBorder="1" applyAlignment="1">
      <alignment horizontal="center" vertical="center"/>
    </xf>
  </cellXfs>
  <cellStyles count="9">
    <cellStyle name="Bình Thường_Luong 06" xfId="2" xr:uid="{00000000-0005-0000-0000-000000000000}"/>
    <cellStyle name="Comma [0] 2 3" xfId="7" xr:uid="{00000000-0005-0000-0000-000001000000}"/>
    <cellStyle name="Comma 41" xfId="6" xr:uid="{00000000-0005-0000-0000-000002000000}"/>
    <cellStyle name="Normal" xfId="0" builtinId="0"/>
    <cellStyle name="Normal 2 2 2" xfId="8" xr:uid="{00000000-0005-0000-0000-000004000000}"/>
    <cellStyle name="Normal 2 2 2 3" xfId="5" xr:uid="{00000000-0005-0000-0000-000005000000}"/>
    <cellStyle name="Normal 6 4 2" xfId="4" xr:uid="{00000000-0005-0000-0000-000006000000}"/>
    <cellStyle name="Normal 61" xfId="1" xr:uid="{00000000-0005-0000-0000-000007000000}"/>
    <cellStyle name="Normal_Lương 2014" xfId="3" xr:uid="{00000000-0005-0000-0000-000008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B383"/>
  <sheetViews>
    <sheetView tabSelected="1" topLeftCell="D1" zoomScale="70" zoomScaleNormal="70" workbookViewId="0">
      <selection activeCell="AB25" sqref="AB25"/>
    </sheetView>
  </sheetViews>
  <sheetFormatPr defaultRowHeight="15" x14ac:dyDescent="0.25"/>
  <cols>
    <col min="1" max="1" width="0" style="1" hidden="1" customWidth="1"/>
    <col min="2" max="2" width="4.28515625" style="1" hidden="1" customWidth="1"/>
    <col min="3" max="3" width="7.28515625" style="1" hidden="1" customWidth="1"/>
    <col min="4" max="4" width="3.7109375" style="1" customWidth="1"/>
    <col min="5" max="5" width="33.5703125" style="1" bestFit="1" customWidth="1"/>
    <col min="6" max="6" width="13" style="158" customWidth="1"/>
    <col min="7" max="10" width="9.7109375" style="141" customWidth="1"/>
    <col min="11" max="14" width="10.140625" style="1" customWidth="1"/>
    <col min="15" max="18" width="8.7109375" style="1" customWidth="1"/>
    <col min="19" max="19" width="25.5703125" style="141" customWidth="1"/>
    <col min="20" max="20" width="6.7109375" style="1" customWidth="1"/>
    <col min="21" max="21" width="22" style="141" bestFit="1" customWidth="1"/>
    <col min="22" max="22" width="7" style="1" customWidth="1"/>
    <col min="23" max="23" width="22" style="141" bestFit="1" customWidth="1"/>
    <col min="24" max="24" width="6.28515625" style="1" customWidth="1"/>
    <col min="25" max="25" width="17.28515625" style="1" bestFit="1" customWidth="1"/>
    <col min="26" max="26" width="35.28515625" style="1" customWidth="1"/>
    <col min="27" max="27" width="20.85546875" style="7" customWidth="1"/>
    <col min="28" max="16384" width="9.140625" style="7"/>
  </cols>
  <sheetData>
    <row r="1" spans="1:26" x14ac:dyDescent="0.25">
      <c r="B1" s="2"/>
      <c r="C1" s="2"/>
      <c r="D1" s="3"/>
      <c r="E1" s="3"/>
      <c r="F1" s="4"/>
      <c r="G1" s="3"/>
      <c r="H1" s="3"/>
      <c r="I1" s="3"/>
      <c r="J1" s="3"/>
      <c r="K1" s="5"/>
      <c r="L1" s="5"/>
      <c r="M1" s="5"/>
      <c r="N1" s="5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6"/>
    </row>
    <row r="2" spans="1:26" x14ac:dyDescent="0.25">
      <c r="B2" s="2"/>
      <c r="C2" s="2"/>
      <c r="D2" s="160" t="s">
        <v>0</v>
      </c>
      <c r="E2" s="160"/>
      <c r="F2" s="160"/>
      <c r="G2" s="160"/>
      <c r="H2" s="160"/>
      <c r="I2" s="160"/>
      <c r="J2" s="160"/>
      <c r="K2" s="160"/>
      <c r="L2" s="160"/>
      <c r="M2" s="160"/>
      <c r="N2" s="160"/>
      <c r="O2" s="160"/>
      <c r="P2" s="6"/>
      <c r="Q2" s="6"/>
      <c r="R2" s="6"/>
      <c r="S2" s="6"/>
      <c r="T2" s="6"/>
      <c r="U2" s="6"/>
      <c r="V2" s="6"/>
      <c r="W2" s="6"/>
      <c r="X2" s="6"/>
      <c r="Y2" s="2"/>
      <c r="Z2" s="6"/>
    </row>
    <row r="3" spans="1:26" x14ac:dyDescent="0.25">
      <c r="B3" s="2"/>
      <c r="C3" s="2"/>
      <c r="D3" s="161" t="s">
        <v>1</v>
      </c>
      <c r="E3" s="161"/>
      <c r="F3" s="161"/>
      <c r="G3" s="161"/>
      <c r="H3" s="161"/>
      <c r="I3" s="161"/>
      <c r="J3" s="161"/>
      <c r="K3" s="161"/>
      <c r="L3" s="161"/>
      <c r="M3" s="161"/>
      <c r="N3" s="161"/>
      <c r="O3" s="161"/>
      <c r="P3" s="8"/>
      <c r="Q3" s="8"/>
      <c r="R3" s="8"/>
      <c r="S3" s="8"/>
      <c r="T3" s="8"/>
      <c r="U3" s="8"/>
      <c r="V3" s="8"/>
      <c r="W3" s="8"/>
      <c r="X3" s="8"/>
      <c r="Y3" s="2"/>
      <c r="Z3" s="6"/>
    </row>
    <row r="4" spans="1:26" x14ac:dyDescent="0.25">
      <c r="B4" s="2"/>
      <c r="C4" s="2"/>
      <c r="D4" s="162" t="s">
        <v>2</v>
      </c>
      <c r="E4" s="162"/>
      <c r="F4" s="162"/>
      <c r="G4" s="162"/>
      <c r="H4" s="162"/>
      <c r="I4" s="162"/>
      <c r="J4" s="162"/>
      <c r="K4" s="162"/>
      <c r="L4" s="162"/>
      <c r="M4" s="162"/>
      <c r="N4" s="162"/>
      <c r="O4" s="162"/>
      <c r="P4" s="162"/>
      <c r="Q4" s="162"/>
      <c r="R4" s="162"/>
      <c r="S4" s="162"/>
      <c r="T4" s="162"/>
      <c r="U4" s="162"/>
      <c r="V4" s="162"/>
      <c r="W4" s="162"/>
      <c r="X4" s="162"/>
      <c r="Y4" s="162"/>
      <c r="Z4" s="6"/>
    </row>
    <row r="5" spans="1:26" x14ac:dyDescent="0.25">
      <c r="B5" s="10"/>
      <c r="C5" s="10"/>
      <c r="D5" s="9"/>
      <c r="E5" s="10"/>
      <c r="F5" s="11"/>
      <c r="G5" s="12"/>
      <c r="H5" s="12"/>
      <c r="I5" s="12"/>
      <c r="J5" s="12"/>
      <c r="K5" s="13"/>
      <c r="L5" s="13"/>
      <c r="M5" s="13"/>
      <c r="N5" s="13"/>
      <c r="O5" s="14"/>
      <c r="P5" s="9"/>
      <c r="Q5" s="9"/>
      <c r="R5" s="9"/>
      <c r="S5" s="9"/>
      <c r="T5" s="9"/>
      <c r="U5" s="9"/>
      <c r="V5" s="9"/>
      <c r="W5" s="9"/>
      <c r="X5" s="9"/>
      <c r="Y5" s="9"/>
      <c r="Z5" s="9"/>
    </row>
    <row r="6" spans="1:26" ht="32.25" customHeight="1" x14ac:dyDescent="0.25">
      <c r="B6" s="163"/>
      <c r="C6" s="15" t="s">
        <v>3</v>
      </c>
      <c r="D6" s="163" t="s">
        <v>4</v>
      </c>
      <c r="E6" s="163" t="s">
        <v>5</v>
      </c>
      <c r="F6" s="165" t="s">
        <v>6</v>
      </c>
      <c r="G6" s="167" t="s">
        <v>7</v>
      </c>
      <c r="H6" s="168"/>
      <c r="I6" s="168"/>
      <c r="J6" s="169"/>
      <c r="K6" s="167" t="s">
        <v>8</v>
      </c>
      <c r="L6" s="168"/>
      <c r="M6" s="168"/>
      <c r="N6" s="169"/>
      <c r="O6" s="167" t="s">
        <v>9</v>
      </c>
      <c r="P6" s="168"/>
      <c r="Q6" s="168"/>
      <c r="R6" s="169"/>
      <c r="S6" s="172" t="s">
        <v>789</v>
      </c>
      <c r="T6" s="173"/>
      <c r="U6" s="173"/>
      <c r="V6" s="173"/>
      <c r="W6" s="173"/>
      <c r="X6" s="174"/>
      <c r="Y6" s="175" t="s">
        <v>10</v>
      </c>
      <c r="Z6" s="175" t="s">
        <v>11</v>
      </c>
    </row>
    <row r="7" spans="1:26" ht="52.5" customHeight="1" x14ac:dyDescent="0.25">
      <c r="B7" s="164"/>
      <c r="C7" s="15"/>
      <c r="D7" s="164"/>
      <c r="E7" s="164"/>
      <c r="F7" s="166"/>
      <c r="G7" s="19" t="s">
        <v>12</v>
      </c>
      <c r="H7" s="20" t="s">
        <v>13</v>
      </c>
      <c r="I7" s="20" t="s">
        <v>14</v>
      </c>
      <c r="J7" s="20" t="s">
        <v>15</v>
      </c>
      <c r="K7" s="19" t="s">
        <v>12</v>
      </c>
      <c r="L7" s="20" t="s">
        <v>13</v>
      </c>
      <c r="M7" s="20" t="s">
        <v>14</v>
      </c>
      <c r="N7" s="20" t="s">
        <v>15</v>
      </c>
      <c r="O7" s="19" t="s">
        <v>12</v>
      </c>
      <c r="P7" s="20" t="s">
        <v>13</v>
      </c>
      <c r="Q7" s="20" t="s">
        <v>14</v>
      </c>
      <c r="R7" s="20" t="s">
        <v>15</v>
      </c>
      <c r="S7" s="179" t="s">
        <v>16</v>
      </c>
      <c r="T7" s="179" t="s">
        <v>17</v>
      </c>
      <c r="U7" s="179" t="s">
        <v>18</v>
      </c>
      <c r="V7" s="179" t="s">
        <v>17</v>
      </c>
      <c r="W7" s="179" t="s">
        <v>19</v>
      </c>
      <c r="X7" s="179" t="s">
        <v>17</v>
      </c>
      <c r="Y7" s="176"/>
      <c r="Z7" s="176"/>
    </row>
    <row r="8" spans="1:26" x14ac:dyDescent="0.25">
      <c r="B8" s="9"/>
      <c r="C8" s="15"/>
      <c r="D8" s="17" t="s">
        <v>20</v>
      </c>
      <c r="E8" s="22" t="s">
        <v>21</v>
      </c>
      <c r="F8" s="18"/>
      <c r="G8" s="23"/>
      <c r="H8" s="23"/>
      <c r="I8" s="23"/>
      <c r="J8" s="23"/>
      <c r="K8" s="24"/>
      <c r="L8" s="24"/>
      <c r="M8" s="24"/>
      <c r="N8" s="24"/>
      <c r="O8" s="25"/>
      <c r="P8" s="26"/>
      <c r="Q8" s="26"/>
      <c r="R8" s="26"/>
      <c r="S8" s="27"/>
      <c r="T8" s="26"/>
      <c r="U8" s="27"/>
      <c r="V8" s="26"/>
      <c r="W8" s="27"/>
      <c r="X8" s="26"/>
      <c r="Y8" s="21"/>
      <c r="Z8" s="21"/>
    </row>
    <row r="9" spans="1:26" ht="28.5" x14ac:dyDescent="0.25">
      <c r="A9" s="1" t="s">
        <v>22</v>
      </c>
      <c r="B9" s="15" t="s">
        <v>23</v>
      </c>
      <c r="C9" s="28" t="s">
        <v>24</v>
      </c>
      <c r="D9" s="29">
        <f>MAX($D$8:D8)+1</f>
        <v>1</v>
      </c>
      <c r="E9" s="30" t="s">
        <v>25</v>
      </c>
      <c r="F9" s="31">
        <v>5610220542</v>
      </c>
      <c r="G9" s="32">
        <v>5.42</v>
      </c>
      <c r="H9" s="33"/>
      <c r="I9" s="34">
        <v>1</v>
      </c>
      <c r="J9" s="34">
        <f>G9+H9+I9</f>
        <v>6.42</v>
      </c>
      <c r="K9" s="32">
        <v>5.42</v>
      </c>
      <c r="L9" s="33"/>
      <c r="M9" s="34">
        <v>1</v>
      </c>
      <c r="N9" s="34">
        <f>K9+L9+M9</f>
        <v>6.42</v>
      </c>
      <c r="O9" s="32">
        <v>5.42</v>
      </c>
      <c r="P9" s="33"/>
      <c r="Q9" s="34">
        <v>1</v>
      </c>
      <c r="R9" s="34">
        <f>O9+P9+Q9</f>
        <v>6.42</v>
      </c>
      <c r="S9" s="35" t="s">
        <v>26</v>
      </c>
      <c r="T9" s="34">
        <f>IF(S9="hoàn thành xuất sắc nhiệm vụ",0.5,IF(S9="hoàn thành tốt nhiệm vụ",0.3,IF(S9="hoàn thành nhiệm vụ",0.1,0)))</f>
        <v>0.5</v>
      </c>
      <c r="U9" s="35" t="s">
        <v>27</v>
      </c>
      <c r="V9" s="34">
        <f>IF(U9="hoàn thành xuất sắc nhiệm vụ",0.5,IF(U9="hoàn thành tốt nhiệm vụ",0.3,IF(U9="hoàn thành nhiệm vụ",0.1,0)))</f>
        <v>0.3</v>
      </c>
      <c r="W9" s="35" t="s">
        <v>27</v>
      </c>
      <c r="X9" s="34">
        <f>IF(W9="hoàn thành xuất sắc nhiệm vụ",0.5,IF(W9="hoàn thành tốt nhiệm vụ",0.3,IF(W9="hoàn thành nhiệm vụ",0.1,0)))</f>
        <v>0.3</v>
      </c>
      <c r="Y9" s="36">
        <f>(J9*T9+N9*V9+R9*X9)*2340000</f>
        <v>16525080</v>
      </c>
      <c r="Z9" s="37" t="s">
        <v>439</v>
      </c>
    </row>
    <row r="10" spans="1:26" ht="28.5" x14ac:dyDescent="0.25">
      <c r="A10" s="1" t="s">
        <v>22</v>
      </c>
      <c r="B10" s="15" t="s">
        <v>23</v>
      </c>
      <c r="C10" s="28" t="s">
        <v>28</v>
      </c>
      <c r="D10" s="29">
        <f>MAX($D$8:D9)+1</f>
        <v>2</v>
      </c>
      <c r="E10" s="30" t="s">
        <v>29</v>
      </c>
      <c r="F10" s="31">
        <v>5610226328</v>
      </c>
      <c r="G10" s="32">
        <v>6.44</v>
      </c>
      <c r="H10" s="33"/>
      <c r="I10" s="34">
        <v>0.8</v>
      </c>
      <c r="J10" s="34">
        <f t="shared" ref="J10:N73" si="0">G10+H10+I10</f>
        <v>7.24</v>
      </c>
      <c r="K10" s="32">
        <v>6.44</v>
      </c>
      <c r="L10" s="33"/>
      <c r="M10" s="34">
        <v>0.8</v>
      </c>
      <c r="N10" s="34">
        <f t="shared" si="0"/>
        <v>7.24</v>
      </c>
      <c r="O10" s="32">
        <v>6.44</v>
      </c>
      <c r="P10" s="33"/>
      <c r="Q10" s="34">
        <v>0.8</v>
      </c>
      <c r="R10" s="34">
        <f t="shared" ref="R10:R73" si="1">O10+P10+Q10</f>
        <v>7.24</v>
      </c>
      <c r="S10" s="35" t="s">
        <v>27</v>
      </c>
      <c r="T10" s="34">
        <f t="shared" ref="T10:T73" si="2">IF(S10="hoàn thành xuất sắc nhiệm vụ",0.5,IF(S10="hoàn thành tốt nhiệm vụ",0.3,IF(S10="hoàn thành nhiệm vụ",0.1,0)))</f>
        <v>0.3</v>
      </c>
      <c r="U10" s="35" t="s">
        <v>27</v>
      </c>
      <c r="V10" s="34">
        <f t="shared" ref="V10:V73" si="3">IF(U10="hoàn thành xuất sắc nhiệm vụ",0.5,IF(U10="hoàn thành tốt nhiệm vụ",0.3,IF(U10="hoàn thành nhiệm vụ",0.1,0)))</f>
        <v>0.3</v>
      </c>
      <c r="W10" s="35" t="s">
        <v>27</v>
      </c>
      <c r="X10" s="34">
        <f t="shared" ref="X10:X73" si="4">IF(W10="hoàn thành xuất sắc nhiệm vụ",0.5,IF(W10="hoàn thành tốt nhiệm vụ",0.3,IF(W10="hoàn thành nhiệm vụ",0.1,0)))</f>
        <v>0.3</v>
      </c>
      <c r="Y10" s="36">
        <f t="shared" ref="Y10:Y73" si="5">(J10*T10+N10*V10+R10*X10)*2340000</f>
        <v>15247440</v>
      </c>
      <c r="Z10" s="37" t="s">
        <v>440</v>
      </c>
    </row>
    <row r="11" spans="1:26" ht="28.5" x14ac:dyDescent="0.25">
      <c r="A11" s="1" t="s">
        <v>22</v>
      </c>
      <c r="B11" s="15" t="s">
        <v>23</v>
      </c>
      <c r="C11" s="28" t="s">
        <v>30</v>
      </c>
      <c r="D11" s="29">
        <f>MAX($D$8:D10)+1</f>
        <v>3</v>
      </c>
      <c r="E11" s="38" t="s">
        <v>31</v>
      </c>
      <c r="F11" s="39">
        <v>5623455793</v>
      </c>
      <c r="G11" s="40">
        <v>4.74</v>
      </c>
      <c r="H11" s="41"/>
      <c r="I11" s="42">
        <v>0.8</v>
      </c>
      <c r="J11" s="34">
        <f t="shared" si="0"/>
        <v>5.54</v>
      </c>
      <c r="K11" s="43">
        <v>5.08</v>
      </c>
      <c r="L11" s="41"/>
      <c r="M11" s="42">
        <v>0.8</v>
      </c>
      <c r="N11" s="34">
        <f t="shared" si="0"/>
        <v>5.88</v>
      </c>
      <c r="O11" s="40">
        <v>5.08</v>
      </c>
      <c r="P11" s="41"/>
      <c r="Q11" s="42">
        <v>0.8</v>
      </c>
      <c r="R11" s="34">
        <f t="shared" si="1"/>
        <v>5.88</v>
      </c>
      <c r="S11" s="35" t="s">
        <v>27</v>
      </c>
      <c r="T11" s="34">
        <f t="shared" si="2"/>
        <v>0.3</v>
      </c>
      <c r="U11" s="35" t="s">
        <v>27</v>
      </c>
      <c r="V11" s="34">
        <f t="shared" si="3"/>
        <v>0.3</v>
      </c>
      <c r="W11" s="35" t="s">
        <v>27</v>
      </c>
      <c r="X11" s="34">
        <f t="shared" si="4"/>
        <v>0.3</v>
      </c>
      <c r="Y11" s="36">
        <f t="shared" si="5"/>
        <v>12144600</v>
      </c>
      <c r="Z11" s="37" t="s">
        <v>441</v>
      </c>
    </row>
    <row r="12" spans="1:26" x14ac:dyDescent="0.25">
      <c r="B12" s="15"/>
      <c r="C12" s="28"/>
      <c r="D12" s="29" t="s">
        <v>20</v>
      </c>
      <c r="E12" s="44" t="s">
        <v>32</v>
      </c>
      <c r="F12" s="31"/>
      <c r="G12" s="32"/>
      <c r="H12" s="33"/>
      <c r="I12" s="34"/>
      <c r="J12" s="34"/>
      <c r="K12" s="32"/>
      <c r="L12" s="33"/>
      <c r="M12" s="34"/>
      <c r="N12" s="34"/>
      <c r="O12" s="32"/>
      <c r="P12" s="33"/>
      <c r="Q12" s="34"/>
      <c r="R12" s="34"/>
      <c r="S12" s="35"/>
      <c r="T12" s="34"/>
      <c r="U12" s="35"/>
      <c r="V12" s="34"/>
      <c r="W12" s="35"/>
      <c r="X12" s="34"/>
      <c r="Y12" s="36"/>
      <c r="Z12" s="37"/>
    </row>
    <row r="13" spans="1:26" x14ac:dyDescent="0.25">
      <c r="A13" s="1" t="s">
        <v>22</v>
      </c>
      <c r="B13" s="15" t="s">
        <v>33</v>
      </c>
      <c r="C13" s="28" t="s">
        <v>34</v>
      </c>
      <c r="D13" s="29">
        <f>MAX($D$8:D12)+1</f>
        <v>4</v>
      </c>
      <c r="E13" s="45" t="s">
        <v>35</v>
      </c>
      <c r="F13" s="31">
        <v>5611148151</v>
      </c>
      <c r="G13" s="32">
        <v>5.08</v>
      </c>
      <c r="H13" s="33"/>
      <c r="I13" s="34">
        <v>0.6</v>
      </c>
      <c r="J13" s="34">
        <f t="shared" si="0"/>
        <v>5.68</v>
      </c>
      <c r="K13" s="32">
        <v>5.08</v>
      </c>
      <c r="L13" s="33"/>
      <c r="M13" s="34">
        <v>0.6</v>
      </c>
      <c r="N13" s="34">
        <f t="shared" si="0"/>
        <v>5.68</v>
      </c>
      <c r="O13" s="32">
        <v>5.08</v>
      </c>
      <c r="P13" s="33"/>
      <c r="Q13" s="34">
        <v>0.6</v>
      </c>
      <c r="R13" s="34">
        <f t="shared" si="1"/>
        <v>5.68</v>
      </c>
      <c r="S13" s="35" t="s">
        <v>27</v>
      </c>
      <c r="T13" s="34">
        <f t="shared" si="2"/>
        <v>0.3</v>
      </c>
      <c r="U13" s="35" t="s">
        <v>27</v>
      </c>
      <c r="V13" s="34">
        <f t="shared" si="3"/>
        <v>0.3</v>
      </c>
      <c r="W13" s="35" t="s">
        <v>27</v>
      </c>
      <c r="X13" s="34">
        <f t="shared" si="4"/>
        <v>0.3</v>
      </c>
      <c r="Y13" s="36">
        <f t="shared" si="5"/>
        <v>11962080</v>
      </c>
      <c r="Z13" s="37" t="s">
        <v>442</v>
      </c>
    </row>
    <row r="14" spans="1:26" x14ac:dyDescent="0.25">
      <c r="A14" s="1" t="s">
        <v>22</v>
      </c>
      <c r="B14" s="15" t="s">
        <v>33</v>
      </c>
      <c r="C14" s="28" t="s">
        <v>34</v>
      </c>
      <c r="D14" s="29">
        <f>MAX($D$8:D13)+1</f>
        <v>5</v>
      </c>
      <c r="E14" s="45" t="s">
        <v>36</v>
      </c>
      <c r="F14" s="31">
        <v>5611151177</v>
      </c>
      <c r="G14" s="32">
        <v>4.9800000000000004</v>
      </c>
      <c r="H14" s="33"/>
      <c r="I14" s="34">
        <v>0.5</v>
      </c>
      <c r="J14" s="34">
        <f t="shared" si="0"/>
        <v>5.48</v>
      </c>
      <c r="K14" s="32">
        <v>4.9800000000000004</v>
      </c>
      <c r="L14" s="33"/>
      <c r="M14" s="34">
        <v>0.5</v>
      </c>
      <c r="N14" s="34">
        <f t="shared" si="0"/>
        <v>5.48</v>
      </c>
      <c r="O14" s="32">
        <v>4.9800000000000004</v>
      </c>
      <c r="P14" s="33"/>
      <c r="Q14" s="34">
        <v>0.5</v>
      </c>
      <c r="R14" s="34">
        <f t="shared" si="1"/>
        <v>5.48</v>
      </c>
      <c r="S14" s="35" t="s">
        <v>27</v>
      </c>
      <c r="T14" s="34">
        <f t="shared" si="2"/>
        <v>0.3</v>
      </c>
      <c r="U14" s="35" t="s">
        <v>27</v>
      </c>
      <c r="V14" s="34">
        <f t="shared" si="3"/>
        <v>0.3</v>
      </c>
      <c r="W14" s="35" t="s">
        <v>27</v>
      </c>
      <c r="X14" s="34">
        <f t="shared" si="4"/>
        <v>0.3</v>
      </c>
      <c r="Y14" s="36">
        <f t="shared" si="5"/>
        <v>11540880</v>
      </c>
      <c r="Z14" s="37" t="s">
        <v>443</v>
      </c>
    </row>
    <row r="15" spans="1:26" x14ac:dyDescent="0.25">
      <c r="A15" s="1" t="s">
        <v>22</v>
      </c>
      <c r="B15" s="15" t="s">
        <v>33</v>
      </c>
      <c r="C15" s="28" t="s">
        <v>34</v>
      </c>
      <c r="D15" s="29">
        <f>MAX($D$8:D14)+1</f>
        <v>6</v>
      </c>
      <c r="E15" s="46" t="s">
        <v>37</v>
      </c>
      <c r="F15" s="47">
        <v>5623447912</v>
      </c>
      <c r="G15" s="48">
        <v>3.99</v>
      </c>
      <c r="H15" s="33"/>
      <c r="I15" s="34">
        <v>0.5</v>
      </c>
      <c r="J15" s="34">
        <f t="shared" si="0"/>
        <v>4.49</v>
      </c>
      <c r="K15" s="48">
        <v>3.99</v>
      </c>
      <c r="L15" s="33"/>
      <c r="M15" s="34">
        <v>0.5</v>
      </c>
      <c r="N15" s="34">
        <f t="shared" si="0"/>
        <v>4.49</v>
      </c>
      <c r="O15" s="48">
        <v>3.99</v>
      </c>
      <c r="P15" s="33"/>
      <c r="Q15" s="34">
        <v>0.5</v>
      </c>
      <c r="R15" s="34">
        <f t="shared" si="1"/>
        <v>4.49</v>
      </c>
      <c r="S15" s="35" t="s">
        <v>27</v>
      </c>
      <c r="T15" s="34">
        <f t="shared" si="2"/>
        <v>0.3</v>
      </c>
      <c r="U15" s="35" t="s">
        <v>27</v>
      </c>
      <c r="V15" s="34">
        <f t="shared" si="3"/>
        <v>0.3</v>
      </c>
      <c r="W15" s="35" t="s">
        <v>38</v>
      </c>
      <c r="X15" s="34">
        <f t="shared" si="4"/>
        <v>0.1</v>
      </c>
      <c r="Y15" s="36">
        <f t="shared" si="5"/>
        <v>7354619.9999999991</v>
      </c>
      <c r="Z15" s="37" t="s">
        <v>444</v>
      </c>
    </row>
    <row r="16" spans="1:26" x14ac:dyDescent="0.25">
      <c r="A16" s="1" t="s">
        <v>22</v>
      </c>
      <c r="B16" s="15" t="s">
        <v>33</v>
      </c>
      <c r="C16" s="28" t="s">
        <v>34</v>
      </c>
      <c r="D16" s="29">
        <f>MAX($D$8:D15)+1</f>
        <v>7</v>
      </c>
      <c r="E16" s="45" t="s">
        <v>39</v>
      </c>
      <c r="F16" s="31">
        <v>5611151308</v>
      </c>
      <c r="G16" s="32">
        <v>4.32</v>
      </c>
      <c r="H16" s="33"/>
      <c r="I16" s="34"/>
      <c r="J16" s="34">
        <f t="shared" si="0"/>
        <v>4.32</v>
      </c>
      <c r="K16" s="32">
        <v>4.32</v>
      </c>
      <c r="L16" s="33"/>
      <c r="M16" s="34"/>
      <c r="N16" s="34">
        <f t="shared" si="0"/>
        <v>4.32</v>
      </c>
      <c r="O16" s="32">
        <v>4.32</v>
      </c>
      <c r="P16" s="33"/>
      <c r="Q16" s="34"/>
      <c r="R16" s="34">
        <f t="shared" si="1"/>
        <v>4.32</v>
      </c>
      <c r="S16" s="35" t="s">
        <v>27</v>
      </c>
      <c r="T16" s="34">
        <f t="shared" si="2"/>
        <v>0.3</v>
      </c>
      <c r="U16" s="35" t="s">
        <v>27</v>
      </c>
      <c r="V16" s="34">
        <f t="shared" si="3"/>
        <v>0.3</v>
      </c>
      <c r="W16" s="35" t="s">
        <v>27</v>
      </c>
      <c r="X16" s="34">
        <f t="shared" si="4"/>
        <v>0.3</v>
      </c>
      <c r="Y16" s="36">
        <f t="shared" si="5"/>
        <v>9097920</v>
      </c>
      <c r="Z16" s="37" t="s">
        <v>445</v>
      </c>
    </row>
    <row r="17" spans="1:26" x14ac:dyDescent="0.25">
      <c r="A17" s="1" t="s">
        <v>22</v>
      </c>
      <c r="B17" s="15" t="s">
        <v>33</v>
      </c>
      <c r="C17" s="28" t="s">
        <v>34</v>
      </c>
      <c r="D17" s="29">
        <f>MAX($D$8:D16)+1</f>
        <v>8</v>
      </c>
      <c r="E17" s="49" t="s">
        <v>40</v>
      </c>
      <c r="F17" s="31">
        <v>5611149011</v>
      </c>
      <c r="G17" s="32">
        <v>3.66</v>
      </c>
      <c r="H17" s="33"/>
      <c r="I17" s="34"/>
      <c r="J17" s="34">
        <f t="shared" si="0"/>
        <v>3.66</v>
      </c>
      <c r="K17" s="32">
        <v>3.66</v>
      </c>
      <c r="L17" s="33"/>
      <c r="M17" s="34"/>
      <c r="N17" s="34">
        <f t="shared" si="0"/>
        <v>3.66</v>
      </c>
      <c r="O17" s="32">
        <v>3.66</v>
      </c>
      <c r="P17" s="33"/>
      <c r="Q17" s="34"/>
      <c r="R17" s="34">
        <f t="shared" si="1"/>
        <v>3.66</v>
      </c>
      <c r="S17" s="35" t="s">
        <v>27</v>
      </c>
      <c r="T17" s="34">
        <f t="shared" si="2"/>
        <v>0.3</v>
      </c>
      <c r="U17" s="35" t="s">
        <v>27</v>
      </c>
      <c r="V17" s="34">
        <f t="shared" si="3"/>
        <v>0.3</v>
      </c>
      <c r="W17" s="35" t="s">
        <v>27</v>
      </c>
      <c r="X17" s="34">
        <f t="shared" si="4"/>
        <v>0.3</v>
      </c>
      <c r="Y17" s="36">
        <f t="shared" si="5"/>
        <v>7707960.0000000009</v>
      </c>
      <c r="Z17" s="37" t="s">
        <v>446</v>
      </c>
    </row>
    <row r="18" spans="1:26" x14ac:dyDescent="0.25">
      <c r="A18" s="1" t="s">
        <v>22</v>
      </c>
      <c r="B18" s="15" t="s">
        <v>33</v>
      </c>
      <c r="C18" s="28" t="s">
        <v>34</v>
      </c>
      <c r="D18" s="29">
        <f>MAX($D$8:D17)+1</f>
        <v>9</v>
      </c>
      <c r="E18" s="45" t="s">
        <v>41</v>
      </c>
      <c r="F18" s="31">
        <v>5611149020</v>
      </c>
      <c r="G18" s="32">
        <v>3.33</v>
      </c>
      <c r="H18" s="33"/>
      <c r="I18" s="34"/>
      <c r="J18" s="34">
        <f t="shared" si="0"/>
        <v>3.33</v>
      </c>
      <c r="K18" s="32">
        <v>3.33</v>
      </c>
      <c r="L18" s="33"/>
      <c r="M18" s="34"/>
      <c r="N18" s="34">
        <f t="shared" si="0"/>
        <v>3.33</v>
      </c>
      <c r="O18" s="32">
        <v>3.33</v>
      </c>
      <c r="P18" s="33"/>
      <c r="Q18" s="34"/>
      <c r="R18" s="34">
        <f t="shared" si="1"/>
        <v>3.33</v>
      </c>
      <c r="S18" s="35" t="s">
        <v>27</v>
      </c>
      <c r="T18" s="34">
        <f t="shared" si="2"/>
        <v>0.3</v>
      </c>
      <c r="U18" s="35" t="s">
        <v>27</v>
      </c>
      <c r="V18" s="34">
        <f t="shared" si="3"/>
        <v>0.3</v>
      </c>
      <c r="W18" s="35" t="s">
        <v>27</v>
      </c>
      <c r="X18" s="34">
        <f t="shared" si="4"/>
        <v>0.3</v>
      </c>
      <c r="Y18" s="36">
        <f t="shared" si="5"/>
        <v>7012980</v>
      </c>
      <c r="Z18" s="37" t="s">
        <v>447</v>
      </c>
    </row>
    <row r="19" spans="1:26" x14ac:dyDescent="0.25">
      <c r="A19" s="1" t="s">
        <v>22</v>
      </c>
      <c r="B19" s="15" t="s">
        <v>33</v>
      </c>
      <c r="C19" s="28" t="s">
        <v>34</v>
      </c>
      <c r="D19" s="29">
        <f>MAX($D$8:D18)+1</f>
        <v>10</v>
      </c>
      <c r="E19" s="49" t="s">
        <v>42</v>
      </c>
      <c r="F19" s="31">
        <v>5610225176</v>
      </c>
      <c r="G19" s="32">
        <v>3.99</v>
      </c>
      <c r="H19" s="33"/>
      <c r="I19" s="34"/>
      <c r="J19" s="34">
        <f t="shared" si="0"/>
        <v>3.99</v>
      </c>
      <c r="K19" s="32">
        <v>3.99</v>
      </c>
      <c r="L19" s="33"/>
      <c r="M19" s="34"/>
      <c r="N19" s="34">
        <f t="shared" si="0"/>
        <v>3.99</v>
      </c>
      <c r="O19" s="32">
        <v>3.99</v>
      </c>
      <c r="P19" s="33"/>
      <c r="Q19" s="34"/>
      <c r="R19" s="34">
        <f t="shared" si="1"/>
        <v>3.99</v>
      </c>
      <c r="S19" s="35" t="s">
        <v>27</v>
      </c>
      <c r="T19" s="34">
        <f t="shared" si="2"/>
        <v>0.3</v>
      </c>
      <c r="U19" s="35" t="s">
        <v>27</v>
      </c>
      <c r="V19" s="34">
        <f t="shared" si="3"/>
        <v>0.3</v>
      </c>
      <c r="W19" s="35" t="s">
        <v>27</v>
      </c>
      <c r="X19" s="34">
        <f t="shared" si="4"/>
        <v>0.3</v>
      </c>
      <c r="Y19" s="36">
        <f t="shared" si="5"/>
        <v>8402940</v>
      </c>
      <c r="Z19" s="37" t="s">
        <v>448</v>
      </c>
    </row>
    <row r="20" spans="1:26" x14ac:dyDescent="0.25">
      <c r="A20" s="1" t="s">
        <v>22</v>
      </c>
      <c r="B20" s="15" t="s">
        <v>33</v>
      </c>
      <c r="C20" s="28" t="s">
        <v>34</v>
      </c>
      <c r="D20" s="29">
        <f>MAX($D$8:D19)+1</f>
        <v>11</v>
      </c>
      <c r="E20" s="49" t="s">
        <v>43</v>
      </c>
      <c r="F20" s="31">
        <v>5611148896</v>
      </c>
      <c r="G20" s="32">
        <v>3.06</v>
      </c>
      <c r="H20" s="33"/>
      <c r="I20" s="34"/>
      <c r="J20" s="34">
        <f t="shared" si="0"/>
        <v>3.06</v>
      </c>
      <c r="K20" s="32">
        <v>3.06</v>
      </c>
      <c r="L20" s="33"/>
      <c r="M20" s="34"/>
      <c r="N20" s="34">
        <f t="shared" si="0"/>
        <v>3.06</v>
      </c>
      <c r="O20" s="32">
        <v>3.06</v>
      </c>
      <c r="P20" s="33"/>
      <c r="Q20" s="34"/>
      <c r="R20" s="34">
        <f t="shared" si="1"/>
        <v>3.06</v>
      </c>
      <c r="S20" s="35" t="s">
        <v>27</v>
      </c>
      <c r="T20" s="34">
        <f t="shared" si="2"/>
        <v>0.3</v>
      </c>
      <c r="U20" s="35" t="s">
        <v>27</v>
      </c>
      <c r="V20" s="34">
        <f t="shared" si="3"/>
        <v>0.3</v>
      </c>
      <c r="W20" s="35" t="s">
        <v>27</v>
      </c>
      <c r="X20" s="34">
        <f t="shared" si="4"/>
        <v>0.3</v>
      </c>
      <c r="Y20" s="36">
        <f t="shared" si="5"/>
        <v>6444359.9999999991</v>
      </c>
      <c r="Z20" s="37" t="s">
        <v>449</v>
      </c>
    </row>
    <row r="21" spans="1:26" x14ac:dyDescent="0.25">
      <c r="A21" s="1" t="s">
        <v>22</v>
      </c>
      <c r="B21" s="15" t="s">
        <v>33</v>
      </c>
      <c r="C21" s="28" t="s">
        <v>34</v>
      </c>
      <c r="D21" s="29">
        <f>MAX($D$8:D20)+1</f>
        <v>12</v>
      </c>
      <c r="E21" s="49" t="s">
        <v>44</v>
      </c>
      <c r="F21" s="31">
        <v>5611148346</v>
      </c>
      <c r="G21" s="32">
        <v>3</v>
      </c>
      <c r="H21" s="33"/>
      <c r="I21" s="34"/>
      <c r="J21" s="34">
        <f t="shared" si="0"/>
        <v>3</v>
      </c>
      <c r="K21" s="32">
        <v>3</v>
      </c>
      <c r="L21" s="33"/>
      <c r="M21" s="34"/>
      <c r="N21" s="34">
        <f t="shared" si="0"/>
        <v>3</v>
      </c>
      <c r="O21" s="32">
        <v>3</v>
      </c>
      <c r="P21" s="33"/>
      <c r="Q21" s="34"/>
      <c r="R21" s="34">
        <f t="shared" si="1"/>
        <v>3</v>
      </c>
      <c r="S21" s="35" t="s">
        <v>27</v>
      </c>
      <c r="T21" s="34">
        <f t="shared" si="2"/>
        <v>0.3</v>
      </c>
      <c r="U21" s="35" t="s">
        <v>27</v>
      </c>
      <c r="V21" s="34">
        <f t="shared" si="3"/>
        <v>0.3</v>
      </c>
      <c r="W21" s="35" t="s">
        <v>27</v>
      </c>
      <c r="X21" s="34">
        <f t="shared" si="4"/>
        <v>0.3</v>
      </c>
      <c r="Y21" s="36">
        <f t="shared" si="5"/>
        <v>6317999.9999999991</v>
      </c>
      <c r="Z21" s="37" t="s">
        <v>450</v>
      </c>
    </row>
    <row r="22" spans="1:26" x14ac:dyDescent="0.25">
      <c r="A22" s="1" t="s">
        <v>22</v>
      </c>
      <c r="B22" s="15" t="s">
        <v>33</v>
      </c>
      <c r="C22" s="28" t="s">
        <v>34</v>
      </c>
      <c r="D22" s="29">
        <f>MAX($D$8:D21)+1</f>
        <v>13</v>
      </c>
      <c r="E22" s="49" t="s">
        <v>45</v>
      </c>
      <c r="F22" s="31">
        <v>5611148461</v>
      </c>
      <c r="G22" s="32">
        <v>2.67</v>
      </c>
      <c r="H22" s="33"/>
      <c r="I22" s="34"/>
      <c r="J22" s="34">
        <f t="shared" si="0"/>
        <v>2.67</v>
      </c>
      <c r="K22" s="32">
        <v>2.67</v>
      </c>
      <c r="L22" s="33"/>
      <c r="M22" s="34"/>
      <c r="N22" s="34">
        <f t="shared" si="0"/>
        <v>2.67</v>
      </c>
      <c r="O22" s="32">
        <v>2.67</v>
      </c>
      <c r="P22" s="33"/>
      <c r="Q22" s="34"/>
      <c r="R22" s="34">
        <f t="shared" si="1"/>
        <v>2.67</v>
      </c>
      <c r="S22" s="35" t="s">
        <v>27</v>
      </c>
      <c r="T22" s="34">
        <f t="shared" si="2"/>
        <v>0.3</v>
      </c>
      <c r="U22" s="35" t="s">
        <v>27</v>
      </c>
      <c r="V22" s="34">
        <f t="shared" si="3"/>
        <v>0.3</v>
      </c>
      <c r="W22" s="35" t="s">
        <v>27</v>
      </c>
      <c r="X22" s="34">
        <f t="shared" si="4"/>
        <v>0.3</v>
      </c>
      <c r="Y22" s="36">
        <f t="shared" si="5"/>
        <v>5623019.9999999991</v>
      </c>
      <c r="Z22" s="37" t="s">
        <v>451</v>
      </c>
    </row>
    <row r="23" spans="1:26" x14ac:dyDescent="0.25">
      <c r="A23" s="1" t="s">
        <v>22</v>
      </c>
      <c r="B23" s="15" t="s">
        <v>33</v>
      </c>
      <c r="C23" s="28" t="s">
        <v>34</v>
      </c>
      <c r="D23" s="29">
        <f>MAX($D$8:D22)+1</f>
        <v>14</v>
      </c>
      <c r="E23" s="50" t="s">
        <v>46</v>
      </c>
      <c r="F23" s="47">
        <v>8863369425</v>
      </c>
      <c r="G23" s="51">
        <v>3.66</v>
      </c>
      <c r="H23" s="33"/>
      <c r="I23" s="34"/>
      <c r="J23" s="34">
        <f t="shared" si="0"/>
        <v>3.66</v>
      </c>
      <c r="K23" s="52">
        <v>3.66</v>
      </c>
      <c r="L23" s="33"/>
      <c r="M23" s="34"/>
      <c r="N23" s="34">
        <f t="shared" si="0"/>
        <v>3.66</v>
      </c>
      <c r="O23" s="52">
        <v>3.66</v>
      </c>
      <c r="P23" s="33"/>
      <c r="Q23" s="34"/>
      <c r="R23" s="34">
        <f t="shared" si="1"/>
        <v>3.66</v>
      </c>
      <c r="S23" s="35" t="s">
        <v>27</v>
      </c>
      <c r="T23" s="34">
        <f t="shared" si="2"/>
        <v>0.3</v>
      </c>
      <c r="U23" s="35" t="s">
        <v>27</v>
      </c>
      <c r="V23" s="34">
        <f t="shared" si="3"/>
        <v>0.3</v>
      </c>
      <c r="W23" s="35" t="s">
        <v>27</v>
      </c>
      <c r="X23" s="34">
        <f t="shared" si="4"/>
        <v>0.3</v>
      </c>
      <c r="Y23" s="36">
        <f t="shared" si="5"/>
        <v>7707960.0000000009</v>
      </c>
      <c r="Z23" s="37" t="s">
        <v>452</v>
      </c>
    </row>
    <row r="24" spans="1:26" x14ac:dyDescent="0.25">
      <c r="A24" s="1" t="s">
        <v>22</v>
      </c>
      <c r="B24" s="15" t="s">
        <v>33</v>
      </c>
      <c r="C24" s="28" t="s">
        <v>34</v>
      </c>
      <c r="D24" s="29">
        <f>MAX($D$8:D23)+1</f>
        <v>15</v>
      </c>
      <c r="E24" s="46" t="s">
        <v>47</v>
      </c>
      <c r="F24" s="47">
        <v>5623456477</v>
      </c>
      <c r="G24" s="53">
        <v>3</v>
      </c>
      <c r="H24" s="33"/>
      <c r="I24" s="34"/>
      <c r="J24" s="34">
        <f t="shared" si="0"/>
        <v>3</v>
      </c>
      <c r="K24" s="53">
        <v>3</v>
      </c>
      <c r="L24" s="33"/>
      <c r="M24" s="34"/>
      <c r="N24" s="34">
        <f t="shared" si="0"/>
        <v>3</v>
      </c>
      <c r="O24" s="53">
        <v>3</v>
      </c>
      <c r="P24" s="33"/>
      <c r="Q24" s="34"/>
      <c r="R24" s="34">
        <f t="shared" si="1"/>
        <v>3</v>
      </c>
      <c r="S24" s="35" t="s">
        <v>27</v>
      </c>
      <c r="T24" s="34">
        <f t="shared" si="2"/>
        <v>0.3</v>
      </c>
      <c r="U24" s="35" t="s">
        <v>27</v>
      </c>
      <c r="V24" s="34">
        <f t="shared" si="3"/>
        <v>0.3</v>
      </c>
      <c r="W24" s="35" t="s">
        <v>27</v>
      </c>
      <c r="X24" s="34">
        <f t="shared" si="4"/>
        <v>0.3</v>
      </c>
      <c r="Y24" s="36">
        <f t="shared" si="5"/>
        <v>6317999.9999999991</v>
      </c>
      <c r="Z24" s="37" t="s">
        <v>453</v>
      </c>
    </row>
    <row r="25" spans="1:26" x14ac:dyDescent="0.25">
      <c r="A25" s="1" t="s">
        <v>22</v>
      </c>
      <c r="B25" s="15" t="s">
        <v>33</v>
      </c>
      <c r="C25" s="28" t="s">
        <v>34</v>
      </c>
      <c r="D25" s="29">
        <f>MAX($D$8:D24)+1</f>
        <v>16</v>
      </c>
      <c r="E25" s="49" t="s">
        <v>48</v>
      </c>
      <c r="F25" s="54">
        <v>5601914975</v>
      </c>
      <c r="G25" s="32">
        <v>2.34</v>
      </c>
      <c r="H25" s="33"/>
      <c r="I25" s="34"/>
      <c r="J25" s="34">
        <f t="shared" si="0"/>
        <v>2.34</v>
      </c>
      <c r="K25" s="32">
        <v>2.34</v>
      </c>
      <c r="L25" s="33"/>
      <c r="M25" s="34"/>
      <c r="N25" s="34">
        <f t="shared" si="0"/>
        <v>2.34</v>
      </c>
      <c r="O25" s="32">
        <v>2.34</v>
      </c>
      <c r="P25" s="33"/>
      <c r="Q25" s="34"/>
      <c r="R25" s="34">
        <f t="shared" si="1"/>
        <v>2.34</v>
      </c>
      <c r="S25" s="35" t="s">
        <v>27</v>
      </c>
      <c r="T25" s="34">
        <f t="shared" si="2"/>
        <v>0.3</v>
      </c>
      <c r="U25" s="35" t="s">
        <v>27</v>
      </c>
      <c r="V25" s="34">
        <f t="shared" si="3"/>
        <v>0.3</v>
      </c>
      <c r="W25" s="35" t="s">
        <v>27</v>
      </c>
      <c r="X25" s="34">
        <f t="shared" si="4"/>
        <v>0.3</v>
      </c>
      <c r="Y25" s="36">
        <f t="shared" si="5"/>
        <v>4928040</v>
      </c>
      <c r="Z25" s="37" t="s">
        <v>454</v>
      </c>
    </row>
    <row r="26" spans="1:26" x14ac:dyDescent="0.25">
      <c r="A26" s="1" t="s">
        <v>22</v>
      </c>
      <c r="B26" s="15" t="s">
        <v>33</v>
      </c>
      <c r="C26" s="28" t="s">
        <v>34</v>
      </c>
      <c r="D26" s="29">
        <f>MAX($D$8:D25)+1</f>
        <v>17</v>
      </c>
      <c r="E26" s="46" t="s">
        <v>49</v>
      </c>
      <c r="F26" s="55">
        <v>8817395546</v>
      </c>
      <c r="G26" s="56">
        <v>2.34</v>
      </c>
      <c r="H26" s="33"/>
      <c r="I26" s="34"/>
      <c r="J26" s="34">
        <f t="shared" si="0"/>
        <v>2.34</v>
      </c>
      <c r="K26" s="56">
        <v>2.34</v>
      </c>
      <c r="L26" s="33"/>
      <c r="M26" s="34"/>
      <c r="N26" s="34">
        <f t="shared" si="0"/>
        <v>2.34</v>
      </c>
      <c r="O26" s="56">
        <v>2.34</v>
      </c>
      <c r="P26" s="33"/>
      <c r="Q26" s="34"/>
      <c r="R26" s="34">
        <f t="shared" si="1"/>
        <v>2.34</v>
      </c>
      <c r="S26" s="35" t="s">
        <v>27</v>
      </c>
      <c r="T26" s="34">
        <f t="shared" si="2"/>
        <v>0.3</v>
      </c>
      <c r="U26" s="35" t="s">
        <v>27</v>
      </c>
      <c r="V26" s="34">
        <f t="shared" si="3"/>
        <v>0.3</v>
      </c>
      <c r="W26" s="35" t="s">
        <v>27</v>
      </c>
      <c r="X26" s="34">
        <f t="shared" si="4"/>
        <v>0.3</v>
      </c>
      <c r="Y26" s="36">
        <f t="shared" si="5"/>
        <v>4928040</v>
      </c>
      <c r="Z26" s="37" t="s">
        <v>455</v>
      </c>
    </row>
    <row r="27" spans="1:26" x14ac:dyDescent="0.25">
      <c r="A27" s="1" t="s">
        <v>22</v>
      </c>
      <c r="B27" s="15" t="s">
        <v>33</v>
      </c>
      <c r="C27" s="28" t="s">
        <v>34</v>
      </c>
      <c r="D27" s="29">
        <f>MAX($D$8:D26)+1</f>
        <v>18</v>
      </c>
      <c r="E27" s="46" t="s">
        <v>50</v>
      </c>
      <c r="F27" s="57" t="s">
        <v>51</v>
      </c>
      <c r="G27" s="58">
        <v>3</v>
      </c>
      <c r="H27" s="33"/>
      <c r="I27" s="34"/>
      <c r="J27" s="34">
        <f t="shared" si="0"/>
        <v>3</v>
      </c>
      <c r="K27" s="58">
        <v>3</v>
      </c>
      <c r="L27" s="33"/>
      <c r="M27" s="34"/>
      <c r="N27" s="34">
        <f t="shared" si="0"/>
        <v>3</v>
      </c>
      <c r="O27" s="58">
        <v>3</v>
      </c>
      <c r="P27" s="33"/>
      <c r="Q27" s="34"/>
      <c r="R27" s="34">
        <f t="shared" si="1"/>
        <v>3</v>
      </c>
      <c r="S27" s="35" t="s">
        <v>27</v>
      </c>
      <c r="T27" s="34">
        <f t="shared" si="2"/>
        <v>0.3</v>
      </c>
      <c r="U27" s="35" t="s">
        <v>27</v>
      </c>
      <c r="V27" s="34">
        <f t="shared" si="3"/>
        <v>0.3</v>
      </c>
      <c r="W27" s="35" t="s">
        <v>27</v>
      </c>
      <c r="X27" s="34">
        <f t="shared" si="4"/>
        <v>0.3</v>
      </c>
      <c r="Y27" s="36">
        <f t="shared" si="5"/>
        <v>6317999.9999999991</v>
      </c>
      <c r="Z27" s="37" t="s">
        <v>456</v>
      </c>
    </row>
    <row r="28" spans="1:26" x14ac:dyDescent="0.25">
      <c r="A28" s="1" t="s">
        <v>22</v>
      </c>
      <c r="B28" s="15" t="s">
        <v>33</v>
      </c>
      <c r="C28" s="28" t="s">
        <v>34</v>
      </c>
      <c r="D28" s="29">
        <f>MAX($D$8:D27)+1</f>
        <v>19</v>
      </c>
      <c r="E28" s="46" t="s">
        <v>52</v>
      </c>
      <c r="F28" s="59">
        <v>5650100271</v>
      </c>
      <c r="G28" s="56">
        <v>3.33</v>
      </c>
      <c r="H28" s="33"/>
      <c r="I28" s="34"/>
      <c r="J28" s="34">
        <f t="shared" si="0"/>
        <v>3.33</v>
      </c>
      <c r="K28" s="56">
        <v>3.33</v>
      </c>
      <c r="L28" s="33"/>
      <c r="M28" s="34"/>
      <c r="N28" s="34">
        <f t="shared" si="0"/>
        <v>3.33</v>
      </c>
      <c r="O28" s="56">
        <v>3.33</v>
      </c>
      <c r="P28" s="33"/>
      <c r="Q28" s="34"/>
      <c r="R28" s="34">
        <f t="shared" si="1"/>
        <v>3.33</v>
      </c>
      <c r="S28" s="35" t="s">
        <v>27</v>
      </c>
      <c r="T28" s="34">
        <f t="shared" si="2"/>
        <v>0.3</v>
      </c>
      <c r="U28" s="35" t="s">
        <v>27</v>
      </c>
      <c r="V28" s="34">
        <f t="shared" si="3"/>
        <v>0.3</v>
      </c>
      <c r="W28" s="35" t="s">
        <v>27</v>
      </c>
      <c r="X28" s="34">
        <f t="shared" si="4"/>
        <v>0.3</v>
      </c>
      <c r="Y28" s="36">
        <f t="shared" si="5"/>
        <v>7012980</v>
      </c>
      <c r="Z28" s="37" t="s">
        <v>457</v>
      </c>
    </row>
    <row r="29" spans="1:26" x14ac:dyDescent="0.25">
      <c r="A29" s="1" t="s">
        <v>22</v>
      </c>
      <c r="B29" s="15" t="s">
        <v>33</v>
      </c>
      <c r="C29" s="28" t="s">
        <v>34</v>
      </c>
      <c r="D29" s="29">
        <f>MAX($D$8:D28)+1</f>
        <v>20</v>
      </c>
      <c r="E29" s="46" t="s">
        <v>53</v>
      </c>
      <c r="F29" s="59">
        <v>8827396113</v>
      </c>
      <c r="G29" s="56">
        <v>3.99</v>
      </c>
      <c r="H29" s="33"/>
      <c r="I29" s="34"/>
      <c r="J29" s="34">
        <f t="shared" si="0"/>
        <v>3.99</v>
      </c>
      <c r="K29" s="56">
        <v>3.99</v>
      </c>
      <c r="L29" s="33"/>
      <c r="M29" s="34"/>
      <c r="N29" s="34">
        <f t="shared" si="0"/>
        <v>3.99</v>
      </c>
      <c r="O29" s="56">
        <v>3.99</v>
      </c>
      <c r="P29" s="33"/>
      <c r="Q29" s="34"/>
      <c r="R29" s="34">
        <f t="shared" si="1"/>
        <v>3.99</v>
      </c>
      <c r="S29" s="35" t="s">
        <v>27</v>
      </c>
      <c r="T29" s="34">
        <f t="shared" si="2"/>
        <v>0.3</v>
      </c>
      <c r="U29" s="35" t="s">
        <v>27</v>
      </c>
      <c r="V29" s="34">
        <f t="shared" si="3"/>
        <v>0.3</v>
      </c>
      <c r="W29" s="35" t="s">
        <v>27</v>
      </c>
      <c r="X29" s="34">
        <f t="shared" si="4"/>
        <v>0.3</v>
      </c>
      <c r="Y29" s="36">
        <f t="shared" si="5"/>
        <v>8402940</v>
      </c>
      <c r="Z29" s="37" t="s">
        <v>458</v>
      </c>
    </row>
    <row r="30" spans="1:26" x14ac:dyDescent="0.25">
      <c r="A30" s="1" t="s">
        <v>22</v>
      </c>
      <c r="B30" s="15" t="s">
        <v>33</v>
      </c>
      <c r="C30" s="28" t="s">
        <v>34</v>
      </c>
      <c r="D30" s="29">
        <f>MAX($D$8:D29)+1</f>
        <v>21</v>
      </c>
      <c r="E30" s="46" t="s">
        <v>54</v>
      </c>
      <c r="F30" s="59">
        <v>8847401631</v>
      </c>
      <c r="G30" s="56">
        <v>3.99</v>
      </c>
      <c r="H30" s="33"/>
      <c r="I30" s="34"/>
      <c r="J30" s="34">
        <f t="shared" si="0"/>
        <v>3.99</v>
      </c>
      <c r="K30" s="56">
        <v>3.99</v>
      </c>
      <c r="L30" s="33"/>
      <c r="M30" s="34"/>
      <c r="N30" s="34">
        <f t="shared" si="0"/>
        <v>3.99</v>
      </c>
      <c r="O30" s="56">
        <v>3.99</v>
      </c>
      <c r="P30" s="33"/>
      <c r="Q30" s="34"/>
      <c r="R30" s="34">
        <f t="shared" si="1"/>
        <v>3.99</v>
      </c>
      <c r="S30" s="35" t="s">
        <v>27</v>
      </c>
      <c r="T30" s="34">
        <f t="shared" si="2"/>
        <v>0.3</v>
      </c>
      <c r="U30" s="35" t="s">
        <v>27</v>
      </c>
      <c r="V30" s="34">
        <f t="shared" si="3"/>
        <v>0.3</v>
      </c>
      <c r="W30" s="35" t="s">
        <v>27</v>
      </c>
      <c r="X30" s="34">
        <f t="shared" si="4"/>
        <v>0.3</v>
      </c>
      <c r="Y30" s="36">
        <f t="shared" si="5"/>
        <v>8402940</v>
      </c>
      <c r="Z30" s="37" t="s">
        <v>459</v>
      </c>
    </row>
    <row r="31" spans="1:26" x14ac:dyDescent="0.25">
      <c r="A31" s="1" t="s">
        <v>22</v>
      </c>
      <c r="B31" s="15" t="s">
        <v>33</v>
      </c>
      <c r="C31" s="28" t="s">
        <v>34</v>
      </c>
      <c r="D31" s="29">
        <f>MAX($D$8:D30)+1</f>
        <v>22</v>
      </c>
      <c r="E31" s="60" t="s">
        <v>55</v>
      </c>
      <c r="F31" s="55">
        <v>8891646062</v>
      </c>
      <c r="G31" s="58">
        <v>3.99</v>
      </c>
      <c r="H31" s="33"/>
      <c r="I31" s="34"/>
      <c r="J31" s="34">
        <f t="shared" si="0"/>
        <v>3.99</v>
      </c>
      <c r="K31" s="58">
        <v>3.99</v>
      </c>
      <c r="L31" s="33"/>
      <c r="M31" s="34"/>
      <c r="N31" s="34">
        <f t="shared" si="0"/>
        <v>3.99</v>
      </c>
      <c r="O31" s="58">
        <v>3.99</v>
      </c>
      <c r="P31" s="33"/>
      <c r="Q31" s="34"/>
      <c r="R31" s="34">
        <f t="shared" si="1"/>
        <v>3.99</v>
      </c>
      <c r="S31" s="35" t="s">
        <v>27</v>
      </c>
      <c r="T31" s="34">
        <f t="shared" si="2"/>
        <v>0.3</v>
      </c>
      <c r="U31" s="35" t="s">
        <v>27</v>
      </c>
      <c r="V31" s="34">
        <f t="shared" si="3"/>
        <v>0.3</v>
      </c>
      <c r="W31" s="35" t="s">
        <v>27</v>
      </c>
      <c r="X31" s="34">
        <f t="shared" si="4"/>
        <v>0.3</v>
      </c>
      <c r="Y31" s="36">
        <f t="shared" si="5"/>
        <v>8402940</v>
      </c>
      <c r="Z31" s="37" t="s">
        <v>460</v>
      </c>
    </row>
    <row r="32" spans="1:26" x14ac:dyDescent="0.25">
      <c r="A32" s="1" t="s">
        <v>22</v>
      </c>
      <c r="B32" s="15" t="s">
        <v>33</v>
      </c>
      <c r="C32" s="28" t="s">
        <v>34</v>
      </c>
      <c r="D32" s="29">
        <f>MAX($D$8:D31)+1</f>
        <v>23</v>
      </c>
      <c r="E32" s="45" t="s">
        <v>56</v>
      </c>
      <c r="F32" s="31">
        <v>5610225875</v>
      </c>
      <c r="G32" s="32">
        <v>2.34</v>
      </c>
      <c r="H32" s="33"/>
      <c r="I32" s="34"/>
      <c r="J32" s="34">
        <f t="shared" si="0"/>
        <v>2.34</v>
      </c>
      <c r="K32" s="61">
        <v>2.67</v>
      </c>
      <c r="L32" s="33"/>
      <c r="M32" s="34"/>
      <c r="N32" s="34">
        <f t="shared" si="0"/>
        <v>2.67</v>
      </c>
      <c r="O32" s="32">
        <v>2.67</v>
      </c>
      <c r="P32" s="33"/>
      <c r="Q32" s="34"/>
      <c r="R32" s="34">
        <f t="shared" si="1"/>
        <v>2.67</v>
      </c>
      <c r="S32" s="35" t="s">
        <v>27</v>
      </c>
      <c r="T32" s="34">
        <f t="shared" si="2"/>
        <v>0.3</v>
      </c>
      <c r="U32" s="35" t="s">
        <v>27</v>
      </c>
      <c r="V32" s="34">
        <f t="shared" si="3"/>
        <v>0.3</v>
      </c>
      <c r="W32" s="35" t="s">
        <v>27</v>
      </c>
      <c r="X32" s="34">
        <f t="shared" si="4"/>
        <v>0.3</v>
      </c>
      <c r="Y32" s="36">
        <f t="shared" si="5"/>
        <v>5391360</v>
      </c>
      <c r="Z32" s="37" t="s">
        <v>461</v>
      </c>
    </row>
    <row r="33" spans="1:28" x14ac:dyDescent="0.25">
      <c r="B33" s="15"/>
      <c r="C33" s="28"/>
      <c r="D33" s="29" t="s">
        <v>20</v>
      </c>
      <c r="E33" s="44" t="s">
        <v>57</v>
      </c>
      <c r="F33" s="31"/>
      <c r="G33" s="32"/>
      <c r="H33" s="32"/>
      <c r="I33" s="32"/>
      <c r="J33" s="34"/>
      <c r="K33" s="32"/>
      <c r="L33" s="32"/>
      <c r="M33" s="32"/>
      <c r="N33" s="34"/>
      <c r="O33" s="32"/>
      <c r="P33" s="32"/>
      <c r="Q33" s="32"/>
      <c r="R33" s="34"/>
      <c r="S33" s="35"/>
      <c r="T33" s="34"/>
      <c r="U33" s="35"/>
      <c r="V33" s="34"/>
      <c r="W33" s="35"/>
      <c r="X33" s="34"/>
      <c r="Y33" s="36"/>
      <c r="Z33" s="37"/>
    </row>
    <row r="34" spans="1:28" x14ac:dyDescent="0.25">
      <c r="A34" s="1" t="s">
        <v>22</v>
      </c>
      <c r="B34" s="15" t="s">
        <v>33</v>
      </c>
      <c r="C34" s="28" t="s">
        <v>58</v>
      </c>
      <c r="D34" s="29">
        <f>MAX($D$8:D33)+1</f>
        <v>24</v>
      </c>
      <c r="E34" s="62" t="s">
        <v>59</v>
      </c>
      <c r="F34" s="47">
        <v>5620062714</v>
      </c>
      <c r="G34" s="52">
        <v>4.9800000000000004</v>
      </c>
      <c r="H34" s="33">
        <v>0.24900000000000003</v>
      </c>
      <c r="I34" s="34">
        <v>0.6</v>
      </c>
      <c r="J34" s="34">
        <f t="shared" si="0"/>
        <v>5.8289999999999997</v>
      </c>
      <c r="K34" s="52">
        <v>4.9800000000000004</v>
      </c>
      <c r="L34" s="33">
        <v>0.24900000000000003</v>
      </c>
      <c r="M34" s="34">
        <v>0.6</v>
      </c>
      <c r="N34" s="34">
        <f t="shared" si="0"/>
        <v>5.8289999999999997</v>
      </c>
      <c r="O34" s="52">
        <v>4.9800000000000004</v>
      </c>
      <c r="P34" s="33">
        <f>K34*6%</f>
        <v>0.29880000000000001</v>
      </c>
      <c r="Q34" s="34">
        <v>0.6</v>
      </c>
      <c r="R34" s="34">
        <f t="shared" si="1"/>
        <v>5.8788</v>
      </c>
      <c r="S34" s="35" t="s">
        <v>27</v>
      </c>
      <c r="T34" s="34">
        <f t="shared" si="2"/>
        <v>0.3</v>
      </c>
      <c r="U34" s="35" t="s">
        <v>27</v>
      </c>
      <c r="V34" s="34">
        <f t="shared" si="3"/>
        <v>0.3</v>
      </c>
      <c r="W34" s="35" t="s">
        <v>27</v>
      </c>
      <c r="X34" s="34">
        <f t="shared" si="4"/>
        <v>0.3</v>
      </c>
      <c r="Y34" s="36">
        <f t="shared" si="5"/>
        <v>12310833.6</v>
      </c>
      <c r="Z34" s="37" t="s">
        <v>462</v>
      </c>
      <c r="AA34" s="63"/>
      <c r="AB34" s="33"/>
    </row>
    <row r="35" spans="1:28" x14ac:dyDescent="0.25">
      <c r="A35" s="1" t="s">
        <v>22</v>
      </c>
      <c r="B35" s="15" t="s">
        <v>33</v>
      </c>
      <c r="C35" s="28" t="s">
        <v>58</v>
      </c>
      <c r="D35" s="29">
        <f>MAX($D$8:D34)+1</f>
        <v>25</v>
      </c>
      <c r="E35" s="64" t="s">
        <v>60</v>
      </c>
      <c r="F35" s="31">
        <v>5611148744</v>
      </c>
      <c r="G35" s="32">
        <v>4.9800000000000004</v>
      </c>
      <c r="H35" s="33"/>
      <c r="I35" s="34">
        <v>0.5</v>
      </c>
      <c r="J35" s="34">
        <f t="shared" si="0"/>
        <v>5.48</v>
      </c>
      <c r="K35" s="32">
        <v>4.9800000000000004</v>
      </c>
      <c r="L35" s="33"/>
      <c r="M35" s="34">
        <v>0.5</v>
      </c>
      <c r="N35" s="34">
        <f t="shared" si="0"/>
        <v>5.48</v>
      </c>
      <c r="O35" s="32">
        <v>4.9800000000000004</v>
      </c>
      <c r="P35" s="33"/>
      <c r="Q35" s="34">
        <v>0.5</v>
      </c>
      <c r="R35" s="34">
        <f t="shared" si="1"/>
        <v>5.48</v>
      </c>
      <c r="S35" s="35" t="s">
        <v>27</v>
      </c>
      <c r="T35" s="34">
        <f t="shared" si="2"/>
        <v>0.3</v>
      </c>
      <c r="U35" s="35" t="s">
        <v>27</v>
      </c>
      <c r="V35" s="34">
        <f t="shared" si="3"/>
        <v>0.3</v>
      </c>
      <c r="W35" s="35" t="s">
        <v>27</v>
      </c>
      <c r="X35" s="34">
        <f t="shared" si="4"/>
        <v>0.3</v>
      </c>
      <c r="Y35" s="36">
        <f t="shared" si="5"/>
        <v>11540880</v>
      </c>
      <c r="Z35" s="37" t="s">
        <v>463</v>
      </c>
      <c r="AA35" s="65"/>
      <c r="AB35" s="33"/>
    </row>
    <row r="36" spans="1:28" x14ac:dyDescent="0.25">
      <c r="A36" s="1" t="s">
        <v>22</v>
      </c>
      <c r="B36" s="15" t="s">
        <v>33</v>
      </c>
      <c r="C36" s="28" t="s">
        <v>58</v>
      </c>
      <c r="D36" s="29">
        <f>MAX($D$8:D35)+1</f>
        <v>26</v>
      </c>
      <c r="E36" s="66" t="s">
        <v>61</v>
      </c>
      <c r="F36" s="47">
        <v>8813369402</v>
      </c>
      <c r="G36" s="67">
        <v>3.99</v>
      </c>
      <c r="H36" s="33"/>
      <c r="I36" s="34"/>
      <c r="J36" s="34">
        <f t="shared" si="0"/>
        <v>3.99</v>
      </c>
      <c r="K36" s="67">
        <v>3.99</v>
      </c>
      <c r="L36" s="33"/>
      <c r="M36" s="34"/>
      <c r="N36" s="34">
        <f t="shared" si="0"/>
        <v>3.99</v>
      </c>
      <c r="O36" s="67">
        <v>3.99</v>
      </c>
      <c r="P36" s="33"/>
      <c r="Q36" s="34"/>
      <c r="R36" s="34">
        <f t="shared" si="1"/>
        <v>3.99</v>
      </c>
      <c r="S36" s="35" t="s">
        <v>27</v>
      </c>
      <c r="T36" s="34">
        <f t="shared" si="2"/>
        <v>0.3</v>
      </c>
      <c r="U36" s="35" t="s">
        <v>27</v>
      </c>
      <c r="V36" s="34">
        <f t="shared" si="3"/>
        <v>0.3</v>
      </c>
      <c r="W36" s="35" t="s">
        <v>27</v>
      </c>
      <c r="X36" s="34">
        <f t="shared" si="4"/>
        <v>0.3</v>
      </c>
      <c r="Y36" s="36">
        <f t="shared" si="5"/>
        <v>8402940</v>
      </c>
      <c r="Z36" s="37" t="s">
        <v>464</v>
      </c>
      <c r="AA36" s="68"/>
      <c r="AB36" s="69"/>
    </row>
    <row r="37" spans="1:28" x14ac:dyDescent="0.25">
      <c r="A37" s="1" t="s">
        <v>22</v>
      </c>
      <c r="B37" s="15" t="s">
        <v>33</v>
      </c>
      <c r="C37" s="28" t="s">
        <v>58</v>
      </c>
      <c r="D37" s="29">
        <f>MAX($D$8:D36)+1</f>
        <v>27</v>
      </c>
      <c r="E37" s="70" t="s">
        <v>62</v>
      </c>
      <c r="F37" s="47">
        <v>8853369396</v>
      </c>
      <c r="G37" s="51">
        <v>4.6500000000000004</v>
      </c>
      <c r="H37" s="33"/>
      <c r="I37" s="34"/>
      <c r="J37" s="34">
        <f t="shared" si="0"/>
        <v>4.6500000000000004</v>
      </c>
      <c r="K37" s="52">
        <v>4.6500000000000004</v>
      </c>
      <c r="L37" s="33"/>
      <c r="M37" s="34"/>
      <c r="N37" s="34">
        <f t="shared" si="0"/>
        <v>4.6500000000000004</v>
      </c>
      <c r="O37" s="52">
        <v>4.6500000000000004</v>
      </c>
      <c r="P37" s="33"/>
      <c r="Q37" s="34"/>
      <c r="R37" s="34">
        <f t="shared" si="1"/>
        <v>4.6500000000000004</v>
      </c>
      <c r="S37" s="35" t="s">
        <v>27</v>
      </c>
      <c r="T37" s="34">
        <f t="shared" si="2"/>
        <v>0.3</v>
      </c>
      <c r="U37" s="35" t="s">
        <v>27</v>
      </c>
      <c r="V37" s="34">
        <f t="shared" si="3"/>
        <v>0.3</v>
      </c>
      <c r="W37" s="35" t="s">
        <v>27</v>
      </c>
      <c r="X37" s="34">
        <f t="shared" si="4"/>
        <v>0.3</v>
      </c>
      <c r="Y37" s="36">
        <f t="shared" si="5"/>
        <v>9792900.0000000019</v>
      </c>
      <c r="Z37" s="37" t="s">
        <v>465</v>
      </c>
      <c r="AA37" s="71"/>
      <c r="AB37" s="33"/>
    </row>
    <row r="38" spans="1:28" x14ac:dyDescent="0.25">
      <c r="A38" s="1" t="s">
        <v>22</v>
      </c>
      <c r="B38" s="15" t="s">
        <v>33</v>
      </c>
      <c r="C38" s="28" t="s">
        <v>58</v>
      </c>
      <c r="D38" s="29">
        <f>MAX($D$8:D37)+1</f>
        <v>28</v>
      </c>
      <c r="E38" s="64" t="s">
        <v>63</v>
      </c>
      <c r="F38" s="31">
        <v>5610225769</v>
      </c>
      <c r="G38" s="32">
        <v>4.6500000000000004</v>
      </c>
      <c r="H38" s="33"/>
      <c r="I38" s="34">
        <v>0.5</v>
      </c>
      <c r="J38" s="34">
        <f t="shared" si="0"/>
        <v>5.15</v>
      </c>
      <c r="K38" s="32">
        <v>4.6500000000000004</v>
      </c>
      <c r="L38" s="33"/>
      <c r="M38" s="34">
        <v>0.5</v>
      </c>
      <c r="N38" s="34">
        <f t="shared" si="0"/>
        <v>5.15</v>
      </c>
      <c r="O38" s="32">
        <v>4.6500000000000004</v>
      </c>
      <c r="P38" s="33"/>
      <c r="Q38" s="34">
        <v>0.5</v>
      </c>
      <c r="R38" s="34">
        <f t="shared" si="1"/>
        <v>5.15</v>
      </c>
      <c r="S38" s="35" t="s">
        <v>27</v>
      </c>
      <c r="T38" s="34">
        <f t="shared" si="2"/>
        <v>0.3</v>
      </c>
      <c r="U38" s="35" t="s">
        <v>27</v>
      </c>
      <c r="V38" s="34">
        <f t="shared" si="3"/>
        <v>0.3</v>
      </c>
      <c r="W38" s="35" t="s">
        <v>27</v>
      </c>
      <c r="X38" s="34">
        <f t="shared" si="4"/>
        <v>0.3</v>
      </c>
      <c r="Y38" s="36">
        <f t="shared" si="5"/>
        <v>10845900.000000002</v>
      </c>
      <c r="Z38" s="37" t="s">
        <v>466</v>
      </c>
      <c r="AA38" s="63"/>
      <c r="AB38" s="72"/>
    </row>
    <row r="39" spans="1:28" x14ac:dyDescent="0.25">
      <c r="A39" s="1" t="s">
        <v>22</v>
      </c>
      <c r="B39" s="15" t="s">
        <v>33</v>
      </c>
      <c r="C39" s="28" t="s">
        <v>58</v>
      </c>
      <c r="D39" s="29">
        <f>MAX($D$8:D38)+1</f>
        <v>29</v>
      </c>
      <c r="E39" s="64" t="s">
        <v>64</v>
      </c>
      <c r="F39" s="31">
        <v>5610225927</v>
      </c>
      <c r="G39" s="32">
        <v>4.6500000000000004</v>
      </c>
      <c r="H39" s="33"/>
      <c r="I39" s="34"/>
      <c r="J39" s="34">
        <f t="shared" si="0"/>
        <v>4.6500000000000004</v>
      </c>
      <c r="K39" s="32">
        <v>4.6500000000000004</v>
      </c>
      <c r="L39" s="33"/>
      <c r="M39" s="34"/>
      <c r="N39" s="34">
        <f t="shared" si="0"/>
        <v>4.6500000000000004</v>
      </c>
      <c r="O39" s="32">
        <v>4.6500000000000004</v>
      </c>
      <c r="P39" s="33"/>
      <c r="Q39" s="34"/>
      <c r="R39" s="34">
        <f t="shared" si="1"/>
        <v>4.6500000000000004</v>
      </c>
      <c r="S39" s="35" t="s">
        <v>27</v>
      </c>
      <c r="T39" s="34">
        <f t="shared" si="2"/>
        <v>0.3</v>
      </c>
      <c r="U39" s="35" t="s">
        <v>27</v>
      </c>
      <c r="V39" s="34">
        <f t="shared" si="3"/>
        <v>0.3</v>
      </c>
      <c r="W39" s="35" t="s">
        <v>27</v>
      </c>
      <c r="X39" s="34">
        <f t="shared" si="4"/>
        <v>0.3</v>
      </c>
      <c r="Y39" s="36">
        <f t="shared" si="5"/>
        <v>9792900.0000000019</v>
      </c>
      <c r="Z39" s="37" t="s">
        <v>467</v>
      </c>
      <c r="AA39" s="68"/>
      <c r="AB39" s="69"/>
    </row>
    <row r="40" spans="1:28" x14ac:dyDescent="0.25">
      <c r="A40" s="1" t="s">
        <v>22</v>
      </c>
      <c r="B40" s="15" t="s">
        <v>33</v>
      </c>
      <c r="C40" s="28" t="s">
        <v>58</v>
      </c>
      <c r="D40" s="29">
        <f>MAX($D$8:D39)+1</f>
        <v>30</v>
      </c>
      <c r="E40" s="64" t="s">
        <v>65</v>
      </c>
      <c r="F40" s="31">
        <v>5610271151</v>
      </c>
      <c r="G40" s="32">
        <v>4.6500000000000004</v>
      </c>
      <c r="H40" s="33"/>
      <c r="I40" s="34"/>
      <c r="J40" s="34">
        <f t="shared" si="0"/>
        <v>4.6500000000000004</v>
      </c>
      <c r="K40" s="32">
        <v>4.6500000000000004</v>
      </c>
      <c r="L40" s="33"/>
      <c r="M40" s="34"/>
      <c r="N40" s="34">
        <f t="shared" si="0"/>
        <v>4.6500000000000004</v>
      </c>
      <c r="O40" s="32">
        <v>4.6500000000000004</v>
      </c>
      <c r="P40" s="33"/>
      <c r="Q40" s="34"/>
      <c r="R40" s="34">
        <f t="shared" si="1"/>
        <v>4.6500000000000004</v>
      </c>
      <c r="S40" s="35" t="s">
        <v>27</v>
      </c>
      <c r="T40" s="34">
        <f t="shared" si="2"/>
        <v>0.3</v>
      </c>
      <c r="U40" s="35" t="s">
        <v>27</v>
      </c>
      <c r="V40" s="34">
        <f t="shared" si="3"/>
        <v>0.3</v>
      </c>
      <c r="W40" s="35" t="s">
        <v>27</v>
      </c>
      <c r="X40" s="34">
        <f t="shared" si="4"/>
        <v>0.3</v>
      </c>
      <c r="Y40" s="36">
        <f t="shared" si="5"/>
        <v>9792900.0000000019</v>
      </c>
      <c r="Z40" s="37" t="s">
        <v>468</v>
      </c>
      <c r="AA40" s="71"/>
      <c r="AB40" s="33"/>
    </row>
    <row r="41" spans="1:28" x14ac:dyDescent="0.25">
      <c r="A41" s="1" t="s">
        <v>22</v>
      </c>
      <c r="B41" s="15" t="s">
        <v>33</v>
      </c>
      <c r="C41" s="28" t="s">
        <v>58</v>
      </c>
      <c r="D41" s="29">
        <f>MAX($D$8:D40)+1</f>
        <v>31</v>
      </c>
      <c r="E41" s="64" t="s">
        <v>66</v>
      </c>
      <c r="F41" s="31">
        <v>5610228458</v>
      </c>
      <c r="G41" s="32">
        <v>4.32</v>
      </c>
      <c r="H41" s="33"/>
      <c r="I41" s="34"/>
      <c r="J41" s="34">
        <f t="shared" si="0"/>
        <v>4.32</v>
      </c>
      <c r="K41" s="32">
        <v>4.32</v>
      </c>
      <c r="L41" s="33"/>
      <c r="M41" s="34"/>
      <c r="N41" s="34">
        <f t="shared" si="0"/>
        <v>4.32</v>
      </c>
      <c r="O41" s="32">
        <v>4.32</v>
      </c>
      <c r="P41" s="33"/>
      <c r="Q41" s="34"/>
      <c r="R41" s="34">
        <f t="shared" si="1"/>
        <v>4.32</v>
      </c>
      <c r="S41" s="35" t="s">
        <v>27</v>
      </c>
      <c r="T41" s="34">
        <f t="shared" si="2"/>
        <v>0.3</v>
      </c>
      <c r="U41" s="35" t="s">
        <v>27</v>
      </c>
      <c r="V41" s="34">
        <f t="shared" si="3"/>
        <v>0.3</v>
      </c>
      <c r="W41" s="35" t="s">
        <v>27</v>
      </c>
      <c r="X41" s="34">
        <f t="shared" si="4"/>
        <v>0.3</v>
      </c>
      <c r="Y41" s="36">
        <f t="shared" si="5"/>
        <v>9097920</v>
      </c>
      <c r="Z41" s="37" t="s">
        <v>469</v>
      </c>
      <c r="AA41" s="73"/>
      <c r="AB41" s="33"/>
    </row>
    <row r="42" spans="1:28" x14ac:dyDescent="0.25">
      <c r="A42" s="1" t="s">
        <v>22</v>
      </c>
      <c r="B42" s="15" t="s">
        <v>33</v>
      </c>
      <c r="C42" s="28" t="s">
        <v>58</v>
      </c>
      <c r="D42" s="29">
        <f>MAX($D$8:D41)+1</f>
        <v>32</v>
      </c>
      <c r="E42" s="64" t="s">
        <v>67</v>
      </c>
      <c r="F42" s="31">
        <v>5611149109</v>
      </c>
      <c r="G42" s="61">
        <v>3.99</v>
      </c>
      <c r="H42" s="33"/>
      <c r="I42" s="34"/>
      <c r="J42" s="34">
        <f t="shared" si="0"/>
        <v>3.99</v>
      </c>
      <c r="K42" s="32">
        <v>3.99</v>
      </c>
      <c r="L42" s="33"/>
      <c r="M42" s="34"/>
      <c r="N42" s="34">
        <f t="shared" si="0"/>
        <v>3.99</v>
      </c>
      <c r="O42" s="32">
        <v>3.99</v>
      </c>
      <c r="P42" s="33"/>
      <c r="Q42" s="34"/>
      <c r="R42" s="34">
        <f t="shared" si="1"/>
        <v>3.99</v>
      </c>
      <c r="S42" s="35" t="s">
        <v>27</v>
      </c>
      <c r="T42" s="34">
        <f t="shared" si="2"/>
        <v>0.3</v>
      </c>
      <c r="U42" s="35" t="s">
        <v>27</v>
      </c>
      <c r="V42" s="34">
        <f t="shared" si="3"/>
        <v>0.3</v>
      </c>
      <c r="W42" s="35" t="s">
        <v>27</v>
      </c>
      <c r="X42" s="34">
        <f t="shared" si="4"/>
        <v>0.3</v>
      </c>
      <c r="Y42" s="36">
        <f t="shared" si="5"/>
        <v>8402940</v>
      </c>
      <c r="Z42" s="37" t="s">
        <v>470</v>
      </c>
      <c r="AA42" s="74"/>
      <c r="AB42" s="33"/>
    </row>
    <row r="43" spans="1:28" x14ac:dyDescent="0.25">
      <c r="A43" s="1" t="s">
        <v>22</v>
      </c>
      <c r="B43" s="15" t="s">
        <v>33</v>
      </c>
      <c r="C43" s="28" t="s">
        <v>58</v>
      </c>
      <c r="D43" s="29">
        <f>MAX($D$8:D42)+1</f>
        <v>33</v>
      </c>
      <c r="E43" s="30" t="s">
        <v>68</v>
      </c>
      <c r="F43" s="31">
        <v>5610577202</v>
      </c>
      <c r="G43" s="32">
        <v>3.99</v>
      </c>
      <c r="H43" s="33"/>
      <c r="I43" s="34"/>
      <c r="J43" s="34">
        <f t="shared" si="0"/>
        <v>3.99</v>
      </c>
      <c r="K43" s="32">
        <v>3.99</v>
      </c>
      <c r="L43" s="33"/>
      <c r="M43" s="34"/>
      <c r="N43" s="34">
        <f t="shared" si="0"/>
        <v>3.99</v>
      </c>
      <c r="O43" s="32">
        <v>3.99</v>
      </c>
      <c r="P43" s="33"/>
      <c r="Q43" s="34"/>
      <c r="R43" s="34">
        <f t="shared" si="1"/>
        <v>3.99</v>
      </c>
      <c r="S43" s="35" t="s">
        <v>27</v>
      </c>
      <c r="T43" s="34">
        <f t="shared" si="2"/>
        <v>0.3</v>
      </c>
      <c r="U43" s="35" t="s">
        <v>27</v>
      </c>
      <c r="V43" s="34">
        <f t="shared" si="3"/>
        <v>0.3</v>
      </c>
      <c r="W43" s="35" t="s">
        <v>27</v>
      </c>
      <c r="X43" s="34">
        <f t="shared" si="4"/>
        <v>0.3</v>
      </c>
      <c r="Y43" s="36">
        <f t="shared" si="5"/>
        <v>8402940</v>
      </c>
      <c r="Z43" s="37" t="s">
        <v>471</v>
      </c>
      <c r="AA43" s="75"/>
      <c r="AB43" s="33"/>
    </row>
    <row r="44" spans="1:28" x14ac:dyDescent="0.25">
      <c r="A44" s="1" t="s">
        <v>22</v>
      </c>
      <c r="B44" s="15" t="s">
        <v>33</v>
      </c>
      <c r="C44" s="28" t="s">
        <v>58</v>
      </c>
      <c r="D44" s="29">
        <f>MAX($D$8:D43)+1</f>
        <v>34</v>
      </c>
      <c r="E44" s="64" t="s">
        <v>69</v>
      </c>
      <c r="F44" s="31">
        <v>5610343625</v>
      </c>
      <c r="G44" s="32">
        <v>3.99</v>
      </c>
      <c r="H44" s="33"/>
      <c r="I44" s="34"/>
      <c r="J44" s="34">
        <f t="shared" si="0"/>
        <v>3.99</v>
      </c>
      <c r="K44" s="32">
        <v>3.99</v>
      </c>
      <c r="L44" s="33"/>
      <c r="M44" s="34"/>
      <c r="N44" s="34">
        <f t="shared" si="0"/>
        <v>3.99</v>
      </c>
      <c r="O44" s="32">
        <v>3.99</v>
      </c>
      <c r="P44" s="33"/>
      <c r="Q44" s="34"/>
      <c r="R44" s="34">
        <f t="shared" si="1"/>
        <v>3.99</v>
      </c>
      <c r="S44" s="35" t="s">
        <v>27</v>
      </c>
      <c r="T44" s="34">
        <f t="shared" si="2"/>
        <v>0.3</v>
      </c>
      <c r="U44" s="35" t="s">
        <v>27</v>
      </c>
      <c r="V44" s="34">
        <f t="shared" si="3"/>
        <v>0.3</v>
      </c>
      <c r="W44" s="35" t="s">
        <v>27</v>
      </c>
      <c r="X44" s="34">
        <f t="shared" si="4"/>
        <v>0.3</v>
      </c>
      <c r="Y44" s="36">
        <f t="shared" si="5"/>
        <v>8402940</v>
      </c>
      <c r="Z44" s="37" t="s">
        <v>472</v>
      </c>
      <c r="AA44" s="68"/>
      <c r="AB44" s="33"/>
    </row>
    <row r="45" spans="1:28" x14ac:dyDescent="0.25">
      <c r="A45" s="1" t="s">
        <v>22</v>
      </c>
      <c r="B45" s="15" t="s">
        <v>33</v>
      </c>
      <c r="C45" s="28" t="s">
        <v>58</v>
      </c>
      <c r="D45" s="29">
        <f>MAX($D$8:D44)+1</f>
        <v>35</v>
      </c>
      <c r="E45" s="76" t="s">
        <v>70</v>
      </c>
      <c r="F45" s="47">
        <v>5623447958</v>
      </c>
      <c r="G45" s="52">
        <v>3.99</v>
      </c>
      <c r="H45" s="33"/>
      <c r="I45" s="34"/>
      <c r="J45" s="34">
        <f t="shared" si="0"/>
        <v>3.99</v>
      </c>
      <c r="K45" s="52">
        <v>3.99</v>
      </c>
      <c r="L45" s="33"/>
      <c r="M45" s="34"/>
      <c r="N45" s="34">
        <f t="shared" si="0"/>
        <v>3.99</v>
      </c>
      <c r="O45" s="52">
        <v>3.99</v>
      </c>
      <c r="P45" s="33"/>
      <c r="Q45" s="34"/>
      <c r="R45" s="34">
        <f t="shared" si="1"/>
        <v>3.99</v>
      </c>
      <c r="S45" s="35" t="s">
        <v>27</v>
      </c>
      <c r="T45" s="34">
        <f t="shared" si="2"/>
        <v>0.3</v>
      </c>
      <c r="U45" s="35" t="s">
        <v>27</v>
      </c>
      <c r="V45" s="34">
        <f t="shared" si="3"/>
        <v>0.3</v>
      </c>
      <c r="W45" s="35" t="s">
        <v>27</v>
      </c>
      <c r="X45" s="34">
        <f t="shared" si="4"/>
        <v>0.3</v>
      </c>
      <c r="Y45" s="36">
        <f t="shared" si="5"/>
        <v>8402940</v>
      </c>
      <c r="Z45" s="37" t="s">
        <v>473</v>
      </c>
      <c r="AA45" s="77"/>
      <c r="AB45" s="72"/>
    </row>
    <row r="46" spans="1:28" x14ac:dyDescent="0.25">
      <c r="A46" s="1" t="s">
        <v>22</v>
      </c>
      <c r="B46" s="15" t="s">
        <v>33</v>
      </c>
      <c r="C46" s="28" t="s">
        <v>58</v>
      </c>
      <c r="D46" s="29">
        <f>MAX($D$8:D45)+1</f>
        <v>36</v>
      </c>
      <c r="E46" s="76" t="s">
        <v>71</v>
      </c>
      <c r="F46" s="47">
        <v>8803369406</v>
      </c>
      <c r="G46" s="78">
        <v>4.32</v>
      </c>
      <c r="H46" s="33"/>
      <c r="I46" s="34"/>
      <c r="J46" s="34">
        <f t="shared" si="0"/>
        <v>4.32</v>
      </c>
      <c r="K46" s="78">
        <v>4.32</v>
      </c>
      <c r="L46" s="33"/>
      <c r="M46" s="34"/>
      <c r="N46" s="34">
        <f t="shared" si="0"/>
        <v>4.32</v>
      </c>
      <c r="O46" s="78">
        <v>4.32</v>
      </c>
      <c r="P46" s="33"/>
      <c r="Q46" s="34"/>
      <c r="R46" s="34">
        <f t="shared" si="1"/>
        <v>4.32</v>
      </c>
      <c r="S46" s="35" t="s">
        <v>27</v>
      </c>
      <c r="T46" s="34">
        <f t="shared" si="2"/>
        <v>0.3</v>
      </c>
      <c r="U46" s="35" t="s">
        <v>27</v>
      </c>
      <c r="V46" s="34">
        <f t="shared" si="3"/>
        <v>0.3</v>
      </c>
      <c r="W46" s="35" t="s">
        <v>27</v>
      </c>
      <c r="X46" s="34">
        <f t="shared" si="4"/>
        <v>0.3</v>
      </c>
      <c r="Y46" s="36">
        <f t="shared" si="5"/>
        <v>9097920</v>
      </c>
      <c r="Z46" s="37" t="s">
        <v>474</v>
      </c>
      <c r="AA46" s="79"/>
      <c r="AB46" s="33"/>
    </row>
    <row r="47" spans="1:28" x14ac:dyDescent="0.25">
      <c r="A47" s="1" t="s">
        <v>22</v>
      </c>
      <c r="B47" s="15" t="s">
        <v>33</v>
      </c>
      <c r="C47" s="28" t="s">
        <v>58</v>
      </c>
      <c r="D47" s="29">
        <f>MAX($D$8:D46)+1</f>
        <v>37</v>
      </c>
      <c r="E47" s="80" t="s">
        <v>72</v>
      </c>
      <c r="F47" s="47">
        <v>8803005306</v>
      </c>
      <c r="G47" s="52">
        <v>3.66</v>
      </c>
      <c r="H47" s="33"/>
      <c r="I47" s="34"/>
      <c r="J47" s="34">
        <f t="shared" si="0"/>
        <v>3.66</v>
      </c>
      <c r="K47" s="52">
        <v>3.66</v>
      </c>
      <c r="L47" s="33"/>
      <c r="M47" s="34"/>
      <c r="N47" s="34">
        <f t="shared" si="0"/>
        <v>3.66</v>
      </c>
      <c r="O47" s="52">
        <v>3.66</v>
      </c>
      <c r="P47" s="33"/>
      <c r="Q47" s="34"/>
      <c r="R47" s="34">
        <f>O47+P47+Q47</f>
        <v>3.66</v>
      </c>
      <c r="S47" s="35" t="s">
        <v>27</v>
      </c>
      <c r="T47" s="34">
        <f t="shared" si="2"/>
        <v>0.3</v>
      </c>
      <c r="U47" s="35" t="s">
        <v>27</v>
      </c>
      <c r="V47" s="34">
        <f t="shared" si="3"/>
        <v>0.3</v>
      </c>
      <c r="W47" s="35" t="s">
        <v>27</v>
      </c>
      <c r="X47" s="34">
        <f t="shared" si="4"/>
        <v>0.3</v>
      </c>
      <c r="Y47" s="36">
        <f t="shared" si="5"/>
        <v>7707960.0000000009</v>
      </c>
      <c r="Z47" s="37" t="s">
        <v>475</v>
      </c>
      <c r="AA47" s="79"/>
      <c r="AB47" s="33"/>
    </row>
    <row r="48" spans="1:28" x14ac:dyDescent="0.25">
      <c r="A48" s="1" t="s">
        <v>22</v>
      </c>
      <c r="B48" s="15" t="s">
        <v>33</v>
      </c>
      <c r="C48" s="28" t="s">
        <v>58</v>
      </c>
      <c r="D48" s="29">
        <f>MAX($D$8:D47)+1</f>
        <v>38</v>
      </c>
      <c r="E48" s="62" t="s">
        <v>73</v>
      </c>
      <c r="F48" s="47">
        <v>8843369424</v>
      </c>
      <c r="G48" s="52">
        <v>4.32</v>
      </c>
      <c r="H48" s="33"/>
      <c r="I48" s="34"/>
      <c r="J48" s="34">
        <f t="shared" si="0"/>
        <v>4.32</v>
      </c>
      <c r="K48" s="52">
        <v>4.32</v>
      </c>
      <c r="L48" s="33"/>
      <c r="M48" s="34"/>
      <c r="N48" s="34">
        <f t="shared" si="0"/>
        <v>4.32</v>
      </c>
      <c r="O48" s="52">
        <v>4.32</v>
      </c>
      <c r="P48" s="33"/>
      <c r="Q48" s="34"/>
      <c r="R48" s="34">
        <f t="shared" si="1"/>
        <v>4.32</v>
      </c>
      <c r="S48" s="35" t="s">
        <v>27</v>
      </c>
      <c r="T48" s="34">
        <f t="shared" si="2"/>
        <v>0.3</v>
      </c>
      <c r="U48" s="35" t="s">
        <v>27</v>
      </c>
      <c r="V48" s="34">
        <f t="shared" si="3"/>
        <v>0.3</v>
      </c>
      <c r="W48" s="35" t="s">
        <v>27</v>
      </c>
      <c r="X48" s="34">
        <f t="shared" si="4"/>
        <v>0.3</v>
      </c>
      <c r="Y48" s="36">
        <f t="shared" si="5"/>
        <v>9097920</v>
      </c>
      <c r="Z48" s="37" t="s">
        <v>476</v>
      </c>
    </row>
    <row r="49" spans="1:27" x14ac:dyDescent="0.25">
      <c r="A49" s="1" t="s">
        <v>22</v>
      </c>
      <c r="B49" s="15" t="s">
        <v>33</v>
      </c>
      <c r="C49" s="28" t="s">
        <v>58</v>
      </c>
      <c r="D49" s="29">
        <f>MAX($D$8:D48)+1</f>
        <v>39</v>
      </c>
      <c r="E49" s="64" t="s">
        <v>74</v>
      </c>
      <c r="F49" s="54">
        <v>5601640395</v>
      </c>
      <c r="G49" s="61">
        <v>3.33</v>
      </c>
      <c r="H49" s="33"/>
      <c r="I49" s="34"/>
      <c r="J49" s="34">
        <f t="shared" si="0"/>
        <v>3.33</v>
      </c>
      <c r="K49" s="32">
        <v>3.33</v>
      </c>
      <c r="L49" s="33"/>
      <c r="M49" s="34"/>
      <c r="N49" s="34">
        <f t="shared" si="0"/>
        <v>3.33</v>
      </c>
      <c r="O49" s="32">
        <v>3.33</v>
      </c>
      <c r="P49" s="33"/>
      <c r="Q49" s="34"/>
      <c r="R49" s="34">
        <f t="shared" si="1"/>
        <v>3.33</v>
      </c>
      <c r="S49" s="35" t="s">
        <v>27</v>
      </c>
      <c r="T49" s="34">
        <f t="shared" si="2"/>
        <v>0.3</v>
      </c>
      <c r="U49" s="35" t="s">
        <v>27</v>
      </c>
      <c r="V49" s="34">
        <f t="shared" si="3"/>
        <v>0.3</v>
      </c>
      <c r="W49" s="35" t="s">
        <v>27</v>
      </c>
      <c r="X49" s="34">
        <f t="shared" si="4"/>
        <v>0.3</v>
      </c>
      <c r="Y49" s="36">
        <f t="shared" si="5"/>
        <v>7012980</v>
      </c>
      <c r="Z49" s="37" t="s">
        <v>477</v>
      </c>
    </row>
    <row r="50" spans="1:27" x14ac:dyDescent="0.25">
      <c r="A50" s="1" t="s">
        <v>22</v>
      </c>
      <c r="B50" s="15" t="s">
        <v>33</v>
      </c>
      <c r="C50" s="28" t="s">
        <v>58</v>
      </c>
      <c r="D50" s="29">
        <f>MAX($D$8:D49)+1</f>
        <v>40</v>
      </c>
      <c r="E50" s="64" t="s">
        <v>75</v>
      </c>
      <c r="F50" s="31">
        <v>5611149835</v>
      </c>
      <c r="G50" s="32">
        <v>3.66</v>
      </c>
      <c r="H50" s="33"/>
      <c r="I50" s="34"/>
      <c r="J50" s="34">
        <f t="shared" si="0"/>
        <v>3.66</v>
      </c>
      <c r="K50" s="32">
        <v>3.66</v>
      </c>
      <c r="L50" s="33"/>
      <c r="M50" s="34"/>
      <c r="N50" s="34">
        <f t="shared" si="0"/>
        <v>3.66</v>
      </c>
      <c r="O50" s="32">
        <v>3.66</v>
      </c>
      <c r="P50" s="33"/>
      <c r="Q50" s="34"/>
      <c r="R50" s="34">
        <f t="shared" si="1"/>
        <v>3.66</v>
      </c>
      <c r="S50" s="35" t="s">
        <v>27</v>
      </c>
      <c r="T50" s="34">
        <f t="shared" si="2"/>
        <v>0.3</v>
      </c>
      <c r="U50" s="35" t="s">
        <v>27</v>
      </c>
      <c r="V50" s="34">
        <f t="shared" si="3"/>
        <v>0.3</v>
      </c>
      <c r="W50" s="35" t="s">
        <v>27</v>
      </c>
      <c r="X50" s="34">
        <f t="shared" si="4"/>
        <v>0.3</v>
      </c>
      <c r="Y50" s="36">
        <f t="shared" si="5"/>
        <v>7707960.0000000009</v>
      </c>
      <c r="Z50" s="37" t="s">
        <v>478</v>
      </c>
    </row>
    <row r="51" spans="1:27" x14ac:dyDescent="0.25">
      <c r="A51" s="1" t="s">
        <v>22</v>
      </c>
      <c r="B51" s="15" t="s">
        <v>33</v>
      </c>
      <c r="C51" s="28" t="s">
        <v>58</v>
      </c>
      <c r="D51" s="29">
        <f>MAX($D$8:D50)+1</f>
        <v>41</v>
      </c>
      <c r="E51" s="30" t="s">
        <v>76</v>
      </c>
      <c r="F51" s="31">
        <v>5611148531</v>
      </c>
      <c r="G51" s="32">
        <v>3</v>
      </c>
      <c r="H51" s="33"/>
      <c r="I51" s="34"/>
      <c r="J51" s="34">
        <f t="shared" si="0"/>
        <v>3</v>
      </c>
      <c r="K51" s="32">
        <v>3</v>
      </c>
      <c r="L51" s="33"/>
      <c r="M51" s="34"/>
      <c r="N51" s="34">
        <f t="shared" si="0"/>
        <v>3</v>
      </c>
      <c r="O51" s="32">
        <v>3</v>
      </c>
      <c r="P51" s="33"/>
      <c r="Q51" s="34"/>
      <c r="R51" s="34">
        <f t="shared" si="1"/>
        <v>3</v>
      </c>
      <c r="S51" s="35" t="s">
        <v>77</v>
      </c>
      <c r="T51" s="34">
        <f t="shared" si="2"/>
        <v>0</v>
      </c>
      <c r="U51" s="35" t="s">
        <v>77</v>
      </c>
      <c r="V51" s="34">
        <f t="shared" si="3"/>
        <v>0</v>
      </c>
      <c r="W51" s="35" t="s">
        <v>77</v>
      </c>
      <c r="X51" s="34">
        <f t="shared" si="4"/>
        <v>0</v>
      </c>
      <c r="Y51" s="36">
        <f t="shared" si="5"/>
        <v>0</v>
      </c>
      <c r="Z51" s="37" t="s">
        <v>479</v>
      </c>
      <c r="AA51" s="7">
        <v>3</v>
      </c>
    </row>
    <row r="52" spans="1:27" x14ac:dyDescent="0.25">
      <c r="A52" s="1" t="s">
        <v>22</v>
      </c>
      <c r="B52" s="15" t="s">
        <v>33</v>
      </c>
      <c r="C52" s="28" t="s">
        <v>58</v>
      </c>
      <c r="D52" s="29">
        <f>MAX($D$8:D51)+1</f>
        <v>42</v>
      </c>
      <c r="E52" s="64" t="s">
        <v>78</v>
      </c>
      <c r="F52" s="31">
        <v>5611149853</v>
      </c>
      <c r="G52" s="32">
        <v>3.66</v>
      </c>
      <c r="H52" s="33"/>
      <c r="I52" s="34"/>
      <c r="J52" s="34">
        <f t="shared" si="0"/>
        <v>3.66</v>
      </c>
      <c r="K52" s="32">
        <v>3.66</v>
      </c>
      <c r="L52" s="33"/>
      <c r="M52" s="34"/>
      <c r="N52" s="34">
        <f t="shared" si="0"/>
        <v>3.66</v>
      </c>
      <c r="O52" s="32">
        <v>3.66</v>
      </c>
      <c r="P52" s="33"/>
      <c r="Q52" s="34"/>
      <c r="R52" s="34">
        <f t="shared" si="1"/>
        <v>3.66</v>
      </c>
      <c r="S52" s="35" t="s">
        <v>27</v>
      </c>
      <c r="T52" s="34">
        <f t="shared" si="2"/>
        <v>0.3</v>
      </c>
      <c r="U52" s="35" t="s">
        <v>27</v>
      </c>
      <c r="V52" s="34">
        <f t="shared" si="3"/>
        <v>0.3</v>
      </c>
      <c r="W52" s="35" t="s">
        <v>27</v>
      </c>
      <c r="X52" s="34">
        <f t="shared" si="4"/>
        <v>0.3</v>
      </c>
      <c r="Y52" s="36">
        <f t="shared" si="5"/>
        <v>7707960.0000000009</v>
      </c>
      <c r="Z52" s="37" t="s">
        <v>480</v>
      </c>
    </row>
    <row r="53" spans="1:27" x14ac:dyDescent="0.25">
      <c r="A53" s="1" t="s">
        <v>22</v>
      </c>
      <c r="B53" s="15" t="s">
        <v>33</v>
      </c>
      <c r="C53" s="28" t="s">
        <v>58</v>
      </c>
      <c r="D53" s="29">
        <f>MAX($D$8:D52)+1</f>
        <v>43</v>
      </c>
      <c r="E53" s="64" t="s">
        <v>79</v>
      </c>
      <c r="F53" s="31">
        <v>5611149844</v>
      </c>
      <c r="G53" s="32">
        <v>3.66</v>
      </c>
      <c r="H53" s="33"/>
      <c r="I53" s="34"/>
      <c r="J53" s="34">
        <f t="shared" si="0"/>
        <v>3.66</v>
      </c>
      <c r="K53" s="61">
        <v>3.99</v>
      </c>
      <c r="L53" s="33"/>
      <c r="M53" s="34"/>
      <c r="N53" s="34">
        <f t="shared" si="0"/>
        <v>3.99</v>
      </c>
      <c r="O53" s="32">
        <v>3.99</v>
      </c>
      <c r="P53" s="33"/>
      <c r="Q53" s="34"/>
      <c r="R53" s="34">
        <f t="shared" si="1"/>
        <v>3.99</v>
      </c>
      <c r="S53" s="35" t="s">
        <v>27</v>
      </c>
      <c r="T53" s="34">
        <f t="shared" si="2"/>
        <v>0.3</v>
      </c>
      <c r="U53" s="35" t="s">
        <v>27</v>
      </c>
      <c r="V53" s="34">
        <f t="shared" si="3"/>
        <v>0.3</v>
      </c>
      <c r="W53" s="35" t="s">
        <v>27</v>
      </c>
      <c r="X53" s="34">
        <f t="shared" si="4"/>
        <v>0.3</v>
      </c>
      <c r="Y53" s="36">
        <f t="shared" si="5"/>
        <v>8171280</v>
      </c>
      <c r="Z53" s="37" t="s">
        <v>481</v>
      </c>
    </row>
    <row r="54" spans="1:27" x14ac:dyDescent="0.25">
      <c r="A54" s="1" t="s">
        <v>22</v>
      </c>
      <c r="B54" s="15" t="s">
        <v>33</v>
      </c>
      <c r="C54" s="28" t="s">
        <v>58</v>
      </c>
      <c r="D54" s="29">
        <f>MAX($D$8:D53)+1</f>
        <v>44</v>
      </c>
      <c r="E54" s="64" t="s">
        <v>80</v>
      </c>
      <c r="F54" s="31">
        <v>5611150952</v>
      </c>
      <c r="G54" s="32">
        <v>2.67</v>
      </c>
      <c r="H54" s="33"/>
      <c r="I54" s="34"/>
      <c r="J54" s="34">
        <f t="shared" si="0"/>
        <v>2.67</v>
      </c>
      <c r="K54" s="32">
        <v>2.67</v>
      </c>
      <c r="L54" s="33"/>
      <c r="M54" s="34"/>
      <c r="N54" s="34">
        <f t="shared" si="0"/>
        <v>2.67</v>
      </c>
      <c r="O54" s="32">
        <v>2.67</v>
      </c>
      <c r="P54" s="33"/>
      <c r="Q54" s="34"/>
      <c r="R54" s="34">
        <f t="shared" si="1"/>
        <v>2.67</v>
      </c>
      <c r="S54" s="35" t="s">
        <v>27</v>
      </c>
      <c r="T54" s="34">
        <f t="shared" si="2"/>
        <v>0.3</v>
      </c>
      <c r="U54" s="35" t="s">
        <v>27</v>
      </c>
      <c r="V54" s="34">
        <f t="shared" si="3"/>
        <v>0.3</v>
      </c>
      <c r="W54" s="35" t="s">
        <v>27</v>
      </c>
      <c r="X54" s="34">
        <f t="shared" si="4"/>
        <v>0.3</v>
      </c>
      <c r="Y54" s="36">
        <f t="shared" si="5"/>
        <v>5623019.9999999991</v>
      </c>
      <c r="Z54" s="37" t="s">
        <v>482</v>
      </c>
    </row>
    <row r="55" spans="1:27" x14ac:dyDescent="0.25">
      <c r="A55" s="1" t="s">
        <v>22</v>
      </c>
      <c r="B55" s="15" t="s">
        <v>33</v>
      </c>
      <c r="C55" s="28" t="s">
        <v>58</v>
      </c>
      <c r="D55" s="29">
        <f>MAX($D$8:D54)+1</f>
        <v>45</v>
      </c>
      <c r="E55" s="64" t="s">
        <v>81</v>
      </c>
      <c r="F55" s="31">
        <v>5610615500</v>
      </c>
      <c r="G55" s="32">
        <v>3.66</v>
      </c>
      <c r="H55" s="33"/>
      <c r="I55" s="34"/>
      <c r="J55" s="34">
        <f t="shared" si="0"/>
        <v>3.66</v>
      </c>
      <c r="K55" s="32">
        <v>3.66</v>
      </c>
      <c r="L55" s="33"/>
      <c r="M55" s="34"/>
      <c r="N55" s="34">
        <f t="shared" si="0"/>
        <v>3.66</v>
      </c>
      <c r="O55" s="32">
        <v>3.66</v>
      </c>
      <c r="P55" s="33"/>
      <c r="Q55" s="34"/>
      <c r="R55" s="34">
        <f t="shared" si="1"/>
        <v>3.66</v>
      </c>
      <c r="S55" s="35" t="s">
        <v>27</v>
      </c>
      <c r="T55" s="34">
        <f t="shared" si="2"/>
        <v>0.3</v>
      </c>
      <c r="U55" s="35" t="s">
        <v>27</v>
      </c>
      <c r="V55" s="34">
        <f t="shared" si="3"/>
        <v>0.3</v>
      </c>
      <c r="W55" s="35" t="s">
        <v>27</v>
      </c>
      <c r="X55" s="34">
        <f t="shared" si="4"/>
        <v>0.3</v>
      </c>
      <c r="Y55" s="36">
        <f t="shared" si="5"/>
        <v>7707960.0000000009</v>
      </c>
      <c r="Z55" s="37" t="s">
        <v>483</v>
      </c>
    </row>
    <row r="56" spans="1:27" x14ac:dyDescent="0.25">
      <c r="A56" s="1" t="s">
        <v>22</v>
      </c>
      <c r="B56" s="15" t="s">
        <v>33</v>
      </c>
      <c r="C56" s="28" t="s">
        <v>58</v>
      </c>
      <c r="D56" s="29">
        <f>MAX($D$8:D55)+1</f>
        <v>46</v>
      </c>
      <c r="E56" s="30" t="s">
        <v>82</v>
      </c>
      <c r="F56" s="31">
        <v>5610597574</v>
      </c>
      <c r="G56" s="32">
        <v>3.34</v>
      </c>
      <c r="H56" s="33"/>
      <c r="I56" s="34"/>
      <c r="J56" s="34">
        <f t="shared" si="0"/>
        <v>3.34</v>
      </c>
      <c r="K56" s="32">
        <v>3.34</v>
      </c>
      <c r="L56" s="33"/>
      <c r="M56" s="34"/>
      <c r="N56" s="34">
        <f t="shared" si="0"/>
        <v>3.34</v>
      </c>
      <c r="O56" s="32">
        <v>3.34</v>
      </c>
      <c r="P56" s="33"/>
      <c r="Q56" s="34"/>
      <c r="R56" s="34">
        <f t="shared" si="1"/>
        <v>3.34</v>
      </c>
      <c r="S56" s="35" t="s">
        <v>27</v>
      </c>
      <c r="T56" s="34">
        <f t="shared" si="2"/>
        <v>0.3</v>
      </c>
      <c r="U56" s="35" t="s">
        <v>27</v>
      </c>
      <c r="V56" s="34">
        <f t="shared" si="3"/>
        <v>0.3</v>
      </c>
      <c r="W56" s="35" t="s">
        <v>27</v>
      </c>
      <c r="X56" s="34">
        <f t="shared" si="4"/>
        <v>0.3</v>
      </c>
      <c r="Y56" s="36">
        <f t="shared" si="5"/>
        <v>7034040.0000000009</v>
      </c>
      <c r="Z56" s="37" t="s">
        <v>484</v>
      </c>
    </row>
    <row r="57" spans="1:27" x14ac:dyDescent="0.25">
      <c r="B57" s="15"/>
      <c r="C57" s="28"/>
      <c r="D57" s="29" t="s">
        <v>20</v>
      </c>
      <c r="E57" s="44" t="s">
        <v>83</v>
      </c>
      <c r="F57" s="31"/>
      <c r="G57" s="32"/>
      <c r="H57" s="32"/>
      <c r="I57" s="32"/>
      <c r="J57" s="34"/>
      <c r="K57" s="32"/>
      <c r="L57" s="32"/>
      <c r="M57" s="32"/>
      <c r="N57" s="34"/>
      <c r="O57" s="32"/>
      <c r="P57" s="32"/>
      <c r="Q57" s="32"/>
      <c r="R57" s="34"/>
      <c r="S57" s="35"/>
      <c r="T57" s="34"/>
      <c r="U57" s="35"/>
      <c r="V57" s="34"/>
      <c r="W57" s="35"/>
      <c r="X57" s="34"/>
      <c r="Y57" s="36"/>
      <c r="Z57" s="37"/>
    </row>
    <row r="58" spans="1:27" x14ac:dyDescent="0.25">
      <c r="A58" s="1" t="s">
        <v>22</v>
      </c>
      <c r="B58" s="15" t="s">
        <v>33</v>
      </c>
      <c r="C58" s="28" t="s">
        <v>84</v>
      </c>
      <c r="D58" s="29">
        <f>MAX($D$8:D57)+1</f>
        <v>47</v>
      </c>
      <c r="E58" s="76" t="s">
        <v>85</v>
      </c>
      <c r="F58" s="47">
        <v>8833369403</v>
      </c>
      <c r="G58" s="81">
        <v>4.74</v>
      </c>
      <c r="H58" s="33"/>
      <c r="I58" s="34">
        <v>0.6</v>
      </c>
      <c r="J58" s="34">
        <f t="shared" si="0"/>
        <v>5.34</v>
      </c>
      <c r="K58" s="81">
        <v>4.74</v>
      </c>
      <c r="L58" s="33"/>
      <c r="M58" s="34">
        <v>0.6</v>
      </c>
      <c r="N58" s="34">
        <f t="shared" si="0"/>
        <v>5.34</v>
      </c>
      <c r="O58" s="81">
        <v>4.74</v>
      </c>
      <c r="P58" s="33"/>
      <c r="Q58" s="34">
        <v>0.6</v>
      </c>
      <c r="R58" s="34">
        <f t="shared" si="1"/>
        <v>5.34</v>
      </c>
      <c r="S58" s="35" t="s">
        <v>27</v>
      </c>
      <c r="T58" s="34">
        <f t="shared" si="2"/>
        <v>0.3</v>
      </c>
      <c r="U58" s="35" t="s">
        <v>27</v>
      </c>
      <c r="V58" s="34">
        <f t="shared" si="3"/>
        <v>0.3</v>
      </c>
      <c r="W58" s="35" t="s">
        <v>27</v>
      </c>
      <c r="X58" s="34">
        <f t="shared" si="4"/>
        <v>0.3</v>
      </c>
      <c r="Y58" s="36">
        <f t="shared" si="5"/>
        <v>11246039.999999998</v>
      </c>
      <c r="Z58" s="37" t="s">
        <v>485</v>
      </c>
    </row>
    <row r="59" spans="1:27" x14ac:dyDescent="0.25">
      <c r="A59" s="1" t="s">
        <v>22</v>
      </c>
      <c r="B59" s="15" t="s">
        <v>33</v>
      </c>
      <c r="C59" s="28" t="s">
        <v>84</v>
      </c>
      <c r="D59" s="29">
        <f>MAX($D$8:D58)+1</f>
        <v>48</v>
      </c>
      <c r="E59" s="30" t="s">
        <v>86</v>
      </c>
      <c r="F59" s="31">
        <v>5610475698</v>
      </c>
      <c r="G59" s="82">
        <v>4.74</v>
      </c>
      <c r="H59" s="33"/>
      <c r="I59" s="34">
        <v>0.5</v>
      </c>
      <c r="J59" s="34">
        <f t="shared" si="0"/>
        <v>5.24</v>
      </c>
      <c r="K59" s="82">
        <v>4.74</v>
      </c>
      <c r="L59" s="33"/>
      <c r="M59" s="34">
        <v>0.5</v>
      </c>
      <c r="N59" s="34">
        <f t="shared" si="0"/>
        <v>5.24</v>
      </c>
      <c r="O59" s="82">
        <v>4.74</v>
      </c>
      <c r="P59" s="33"/>
      <c r="Q59" s="34">
        <v>0.5</v>
      </c>
      <c r="R59" s="34">
        <f t="shared" si="1"/>
        <v>5.24</v>
      </c>
      <c r="S59" s="35" t="s">
        <v>27</v>
      </c>
      <c r="T59" s="34">
        <f t="shared" si="2"/>
        <v>0.3</v>
      </c>
      <c r="U59" s="35" t="s">
        <v>27</v>
      </c>
      <c r="V59" s="34">
        <f t="shared" si="3"/>
        <v>0.3</v>
      </c>
      <c r="W59" s="35" t="s">
        <v>27</v>
      </c>
      <c r="X59" s="34">
        <f t="shared" si="4"/>
        <v>0.3</v>
      </c>
      <c r="Y59" s="36">
        <f t="shared" si="5"/>
        <v>11035440</v>
      </c>
      <c r="Z59" s="37" t="s">
        <v>486</v>
      </c>
    </row>
    <row r="60" spans="1:27" x14ac:dyDescent="0.25">
      <c r="A60" s="1" t="s">
        <v>22</v>
      </c>
      <c r="B60" s="15" t="s">
        <v>33</v>
      </c>
      <c r="C60" s="28" t="s">
        <v>84</v>
      </c>
      <c r="D60" s="29">
        <f>MAX($D$8:D59)+1</f>
        <v>49</v>
      </c>
      <c r="E60" s="83" t="s">
        <v>87</v>
      </c>
      <c r="F60" s="47">
        <v>5623448784</v>
      </c>
      <c r="G60" s="84">
        <v>4.9800000000000004</v>
      </c>
      <c r="H60" s="33">
        <v>0.44820000000000004</v>
      </c>
      <c r="I60" s="34">
        <v>0.5</v>
      </c>
      <c r="J60" s="34">
        <f t="shared" si="0"/>
        <v>5.9282000000000004</v>
      </c>
      <c r="K60" s="84">
        <v>4.9800000000000004</v>
      </c>
      <c r="L60" s="33">
        <f>K60*10%</f>
        <v>0.49800000000000005</v>
      </c>
      <c r="M60" s="34">
        <v>0.5</v>
      </c>
      <c r="N60" s="34">
        <f t="shared" si="0"/>
        <v>5.9780000000000006</v>
      </c>
      <c r="O60" s="84">
        <v>4.9800000000000004</v>
      </c>
      <c r="P60" s="33">
        <f>L60</f>
        <v>0.49800000000000005</v>
      </c>
      <c r="Q60" s="34">
        <v>0.5</v>
      </c>
      <c r="R60" s="34">
        <f t="shared" si="1"/>
        <v>5.9780000000000006</v>
      </c>
      <c r="S60" s="35" t="s">
        <v>27</v>
      </c>
      <c r="T60" s="34">
        <f t="shared" si="2"/>
        <v>0.3</v>
      </c>
      <c r="U60" s="35" t="s">
        <v>27</v>
      </c>
      <c r="V60" s="34">
        <f t="shared" si="3"/>
        <v>0.3</v>
      </c>
      <c r="W60" s="35" t="s">
        <v>27</v>
      </c>
      <c r="X60" s="34">
        <f t="shared" si="4"/>
        <v>0.3</v>
      </c>
      <c r="Y60" s="36">
        <f t="shared" si="5"/>
        <v>12554708.4</v>
      </c>
      <c r="Z60" s="37" t="s">
        <v>487</v>
      </c>
    </row>
    <row r="61" spans="1:27" x14ac:dyDescent="0.25">
      <c r="A61" s="1" t="s">
        <v>22</v>
      </c>
      <c r="B61" s="15" t="s">
        <v>33</v>
      </c>
      <c r="C61" s="28" t="s">
        <v>84</v>
      </c>
      <c r="D61" s="29">
        <f>MAX($D$8:D60)+1</f>
        <v>50</v>
      </c>
      <c r="E61" s="64" t="s">
        <v>88</v>
      </c>
      <c r="F61" s="31">
        <v>5611151195</v>
      </c>
      <c r="G61" s="82">
        <v>4.32</v>
      </c>
      <c r="H61" s="33"/>
      <c r="I61" s="34"/>
      <c r="J61" s="34">
        <f t="shared" si="0"/>
        <v>4.32</v>
      </c>
      <c r="K61" s="82">
        <v>4.32</v>
      </c>
      <c r="L61" s="33"/>
      <c r="M61" s="34"/>
      <c r="N61" s="34">
        <f t="shared" si="0"/>
        <v>4.32</v>
      </c>
      <c r="O61" s="82">
        <v>4.32</v>
      </c>
      <c r="P61" s="33"/>
      <c r="Q61" s="34"/>
      <c r="R61" s="34">
        <f t="shared" si="1"/>
        <v>4.32</v>
      </c>
      <c r="S61" s="35" t="s">
        <v>27</v>
      </c>
      <c r="T61" s="34">
        <f t="shared" si="2"/>
        <v>0.3</v>
      </c>
      <c r="U61" s="35" t="s">
        <v>27</v>
      </c>
      <c r="V61" s="34">
        <f t="shared" si="3"/>
        <v>0.3</v>
      </c>
      <c r="W61" s="35" t="s">
        <v>27</v>
      </c>
      <c r="X61" s="34">
        <f t="shared" si="4"/>
        <v>0.3</v>
      </c>
      <c r="Y61" s="36">
        <f t="shared" si="5"/>
        <v>9097920</v>
      </c>
      <c r="Z61" s="37" t="s">
        <v>488</v>
      </c>
    </row>
    <row r="62" spans="1:27" x14ac:dyDescent="0.25">
      <c r="A62" s="1" t="s">
        <v>22</v>
      </c>
      <c r="B62" s="15" t="s">
        <v>33</v>
      </c>
      <c r="C62" s="28" t="s">
        <v>84</v>
      </c>
      <c r="D62" s="29">
        <f>MAX($D$8:D61)+1</f>
        <v>51</v>
      </c>
      <c r="E62" s="30" t="s">
        <v>89</v>
      </c>
      <c r="F62" s="31">
        <v>5610406069</v>
      </c>
      <c r="G62" s="82">
        <v>3.99</v>
      </c>
      <c r="H62" s="33"/>
      <c r="I62" s="34"/>
      <c r="J62" s="34">
        <f t="shared" si="0"/>
        <v>3.99</v>
      </c>
      <c r="K62" s="82">
        <v>3.99</v>
      </c>
      <c r="L62" s="33"/>
      <c r="M62" s="34"/>
      <c r="N62" s="34">
        <f t="shared" si="0"/>
        <v>3.99</v>
      </c>
      <c r="O62" s="82">
        <v>3.99</v>
      </c>
      <c r="P62" s="33"/>
      <c r="Q62" s="34"/>
      <c r="R62" s="34">
        <f t="shared" si="1"/>
        <v>3.99</v>
      </c>
      <c r="S62" s="35" t="s">
        <v>27</v>
      </c>
      <c r="T62" s="34">
        <f t="shared" si="2"/>
        <v>0.3</v>
      </c>
      <c r="U62" s="35" t="s">
        <v>27</v>
      </c>
      <c r="V62" s="34">
        <f t="shared" si="3"/>
        <v>0.3</v>
      </c>
      <c r="W62" s="35" t="s">
        <v>27</v>
      </c>
      <c r="X62" s="34">
        <f t="shared" si="4"/>
        <v>0.3</v>
      </c>
      <c r="Y62" s="36">
        <f t="shared" si="5"/>
        <v>8402940</v>
      </c>
      <c r="Z62" s="37" t="s">
        <v>489</v>
      </c>
    </row>
    <row r="63" spans="1:27" x14ac:dyDescent="0.25">
      <c r="A63" s="1" t="s">
        <v>22</v>
      </c>
      <c r="B63" s="15" t="s">
        <v>33</v>
      </c>
      <c r="C63" s="28" t="s">
        <v>84</v>
      </c>
      <c r="D63" s="29">
        <f>MAX($D$8:D62)+1</f>
        <v>52</v>
      </c>
      <c r="E63" s="64" t="s">
        <v>90</v>
      </c>
      <c r="F63" s="31">
        <v>5611149057</v>
      </c>
      <c r="G63" s="85">
        <v>3.99</v>
      </c>
      <c r="H63" s="33"/>
      <c r="I63" s="34"/>
      <c r="J63" s="34">
        <f t="shared" si="0"/>
        <v>3.99</v>
      </c>
      <c r="K63" s="82">
        <v>3.99</v>
      </c>
      <c r="L63" s="33"/>
      <c r="M63" s="34"/>
      <c r="N63" s="34">
        <f t="shared" si="0"/>
        <v>3.99</v>
      </c>
      <c r="O63" s="82">
        <v>3.99</v>
      </c>
      <c r="P63" s="33"/>
      <c r="Q63" s="34"/>
      <c r="R63" s="34">
        <f t="shared" si="1"/>
        <v>3.99</v>
      </c>
      <c r="S63" s="35" t="s">
        <v>27</v>
      </c>
      <c r="T63" s="34">
        <f t="shared" si="2"/>
        <v>0.3</v>
      </c>
      <c r="U63" s="35" t="s">
        <v>27</v>
      </c>
      <c r="V63" s="34">
        <f t="shared" si="3"/>
        <v>0.3</v>
      </c>
      <c r="W63" s="35" t="s">
        <v>27</v>
      </c>
      <c r="X63" s="34">
        <f t="shared" si="4"/>
        <v>0.3</v>
      </c>
      <c r="Y63" s="36">
        <f t="shared" si="5"/>
        <v>8402940</v>
      </c>
      <c r="Z63" s="37" t="s">
        <v>490</v>
      </c>
    </row>
    <row r="64" spans="1:27" x14ac:dyDescent="0.25">
      <c r="A64" s="1" t="s">
        <v>22</v>
      </c>
      <c r="B64" s="15" t="s">
        <v>33</v>
      </c>
      <c r="C64" s="28" t="s">
        <v>84</v>
      </c>
      <c r="D64" s="29">
        <f>MAX($D$8:D63)+1</f>
        <v>53</v>
      </c>
      <c r="E64" s="64" t="s">
        <v>91</v>
      </c>
      <c r="F64" s="31">
        <v>5611151140</v>
      </c>
      <c r="G64" s="82">
        <v>3.66</v>
      </c>
      <c r="H64" s="33"/>
      <c r="I64" s="34"/>
      <c r="J64" s="34">
        <f t="shared" si="0"/>
        <v>3.66</v>
      </c>
      <c r="K64" s="82">
        <v>3.66</v>
      </c>
      <c r="L64" s="33"/>
      <c r="M64" s="34"/>
      <c r="N64" s="34">
        <f t="shared" si="0"/>
        <v>3.66</v>
      </c>
      <c r="O64" s="82">
        <v>3.66</v>
      </c>
      <c r="P64" s="33"/>
      <c r="Q64" s="34"/>
      <c r="R64" s="34">
        <f t="shared" si="1"/>
        <v>3.66</v>
      </c>
      <c r="S64" s="35" t="s">
        <v>27</v>
      </c>
      <c r="T64" s="34">
        <f t="shared" si="2"/>
        <v>0.3</v>
      </c>
      <c r="U64" s="35" t="s">
        <v>27</v>
      </c>
      <c r="V64" s="34">
        <f t="shared" si="3"/>
        <v>0.3</v>
      </c>
      <c r="W64" s="35" t="s">
        <v>27</v>
      </c>
      <c r="X64" s="34">
        <f t="shared" si="4"/>
        <v>0.3</v>
      </c>
      <c r="Y64" s="36">
        <f t="shared" si="5"/>
        <v>7707960.0000000009</v>
      </c>
      <c r="Z64" s="37" t="s">
        <v>491</v>
      </c>
    </row>
    <row r="65" spans="1:26" x14ac:dyDescent="0.25">
      <c r="A65" s="1" t="s">
        <v>22</v>
      </c>
      <c r="B65" s="15" t="s">
        <v>33</v>
      </c>
      <c r="C65" s="28" t="s">
        <v>84</v>
      </c>
      <c r="D65" s="29">
        <f>MAX($D$8:D64)+1</f>
        <v>54</v>
      </c>
      <c r="E65" s="76" t="s">
        <v>92</v>
      </c>
      <c r="F65" s="47">
        <v>5620212698</v>
      </c>
      <c r="G65" s="56">
        <v>4.6500000000000004</v>
      </c>
      <c r="H65" s="33"/>
      <c r="I65" s="34"/>
      <c r="J65" s="34">
        <f t="shared" si="0"/>
        <v>4.6500000000000004</v>
      </c>
      <c r="K65" s="56">
        <v>4.6500000000000004</v>
      </c>
      <c r="L65" s="33"/>
      <c r="M65" s="34"/>
      <c r="N65" s="34">
        <f t="shared" si="0"/>
        <v>4.6500000000000004</v>
      </c>
      <c r="O65" s="56">
        <v>4.6500000000000004</v>
      </c>
      <c r="P65" s="33"/>
      <c r="Q65" s="34"/>
      <c r="R65" s="34">
        <f t="shared" si="1"/>
        <v>4.6500000000000004</v>
      </c>
      <c r="S65" s="35" t="s">
        <v>27</v>
      </c>
      <c r="T65" s="34">
        <f t="shared" si="2"/>
        <v>0.3</v>
      </c>
      <c r="U65" s="35" t="s">
        <v>27</v>
      </c>
      <c r="V65" s="34">
        <f t="shared" si="3"/>
        <v>0.3</v>
      </c>
      <c r="W65" s="35" t="s">
        <v>27</v>
      </c>
      <c r="X65" s="34">
        <f t="shared" si="4"/>
        <v>0.3</v>
      </c>
      <c r="Y65" s="36">
        <f t="shared" si="5"/>
        <v>9792900.0000000019</v>
      </c>
      <c r="Z65" s="37" t="s">
        <v>492</v>
      </c>
    </row>
    <row r="66" spans="1:26" x14ac:dyDescent="0.25">
      <c r="A66" s="1" t="s">
        <v>22</v>
      </c>
      <c r="B66" s="15" t="s">
        <v>33</v>
      </c>
      <c r="C66" s="28" t="s">
        <v>84</v>
      </c>
      <c r="D66" s="29">
        <f>MAX($D$8:D65)+1</f>
        <v>55</v>
      </c>
      <c r="E66" s="83" t="s">
        <v>93</v>
      </c>
      <c r="F66" s="47">
        <v>8843369420</v>
      </c>
      <c r="G66" s="84">
        <v>3.33</v>
      </c>
      <c r="H66" s="33"/>
      <c r="I66" s="34"/>
      <c r="J66" s="34">
        <f t="shared" si="0"/>
        <v>3.33</v>
      </c>
      <c r="K66" s="84">
        <v>3.33</v>
      </c>
      <c r="L66" s="33"/>
      <c r="M66" s="34"/>
      <c r="N66" s="34">
        <f t="shared" si="0"/>
        <v>3.33</v>
      </c>
      <c r="O66" s="84">
        <v>3.33</v>
      </c>
      <c r="P66" s="33"/>
      <c r="Q66" s="34"/>
      <c r="R66" s="34">
        <f t="shared" si="1"/>
        <v>3.33</v>
      </c>
      <c r="S66" s="35" t="s">
        <v>27</v>
      </c>
      <c r="T66" s="34">
        <f t="shared" si="2"/>
        <v>0.3</v>
      </c>
      <c r="U66" s="35" t="s">
        <v>27</v>
      </c>
      <c r="V66" s="34">
        <f t="shared" si="3"/>
        <v>0.3</v>
      </c>
      <c r="W66" s="35" t="s">
        <v>27</v>
      </c>
      <c r="X66" s="34">
        <f t="shared" si="4"/>
        <v>0.3</v>
      </c>
      <c r="Y66" s="36">
        <f t="shared" si="5"/>
        <v>7012980</v>
      </c>
      <c r="Z66" s="37" t="s">
        <v>493</v>
      </c>
    </row>
    <row r="67" spans="1:26" x14ac:dyDescent="0.25">
      <c r="A67" s="1" t="s">
        <v>22</v>
      </c>
      <c r="B67" s="15" t="s">
        <v>33</v>
      </c>
      <c r="C67" s="28" t="s">
        <v>84</v>
      </c>
      <c r="D67" s="29">
        <f>MAX($D$8:D66)+1</f>
        <v>56</v>
      </c>
      <c r="E67" s="66" t="s">
        <v>94</v>
      </c>
      <c r="F67" s="47">
        <v>8833150607</v>
      </c>
      <c r="G67" s="86">
        <v>2.67</v>
      </c>
      <c r="H67" s="33"/>
      <c r="I67" s="34"/>
      <c r="J67" s="34">
        <f t="shared" si="0"/>
        <v>2.67</v>
      </c>
      <c r="K67" s="86">
        <v>2.67</v>
      </c>
      <c r="L67" s="33"/>
      <c r="M67" s="34"/>
      <c r="N67" s="34">
        <f t="shared" si="0"/>
        <v>2.67</v>
      </c>
      <c r="O67" s="86">
        <v>2.67</v>
      </c>
      <c r="P67" s="33"/>
      <c r="Q67" s="34"/>
      <c r="R67" s="34">
        <f t="shared" si="1"/>
        <v>2.67</v>
      </c>
      <c r="S67" s="35" t="s">
        <v>27</v>
      </c>
      <c r="T67" s="34">
        <f t="shared" si="2"/>
        <v>0.3</v>
      </c>
      <c r="U67" s="35" t="s">
        <v>27</v>
      </c>
      <c r="V67" s="34">
        <f t="shared" si="3"/>
        <v>0.3</v>
      </c>
      <c r="W67" s="35" t="s">
        <v>27</v>
      </c>
      <c r="X67" s="34">
        <f t="shared" si="4"/>
        <v>0.3</v>
      </c>
      <c r="Y67" s="36">
        <f t="shared" si="5"/>
        <v>5623019.9999999991</v>
      </c>
      <c r="Z67" s="37" t="s">
        <v>494</v>
      </c>
    </row>
    <row r="68" spans="1:26" x14ac:dyDescent="0.25">
      <c r="A68" s="1" t="s">
        <v>22</v>
      </c>
      <c r="B68" s="15" t="s">
        <v>33</v>
      </c>
      <c r="C68" s="28" t="s">
        <v>84</v>
      </c>
      <c r="D68" s="29">
        <f>MAX($D$8:D67)+1</f>
        <v>57</v>
      </c>
      <c r="E68" s="83" t="s">
        <v>95</v>
      </c>
      <c r="F68" s="47">
        <v>5623462720</v>
      </c>
      <c r="G68" s="86">
        <v>4.32</v>
      </c>
      <c r="H68" s="33"/>
      <c r="I68" s="34"/>
      <c r="J68" s="34">
        <f t="shared" si="0"/>
        <v>4.32</v>
      </c>
      <c r="K68" s="86">
        <v>4.32</v>
      </c>
      <c r="L68" s="33"/>
      <c r="M68" s="34"/>
      <c r="N68" s="34">
        <f t="shared" si="0"/>
        <v>4.32</v>
      </c>
      <c r="O68" s="86">
        <v>4.32</v>
      </c>
      <c r="P68" s="33"/>
      <c r="Q68" s="34"/>
      <c r="R68" s="34">
        <f t="shared" si="1"/>
        <v>4.32</v>
      </c>
      <c r="S68" s="35" t="s">
        <v>27</v>
      </c>
      <c r="T68" s="34">
        <f t="shared" si="2"/>
        <v>0.3</v>
      </c>
      <c r="U68" s="35" t="s">
        <v>27</v>
      </c>
      <c r="V68" s="34">
        <f t="shared" si="3"/>
        <v>0.3</v>
      </c>
      <c r="W68" s="35" t="s">
        <v>27</v>
      </c>
      <c r="X68" s="34">
        <f t="shared" si="4"/>
        <v>0.3</v>
      </c>
      <c r="Y68" s="36">
        <f t="shared" si="5"/>
        <v>9097920</v>
      </c>
      <c r="Z68" s="37" t="s">
        <v>495</v>
      </c>
    </row>
    <row r="69" spans="1:26" x14ac:dyDescent="0.25">
      <c r="A69" s="1" t="s">
        <v>22</v>
      </c>
      <c r="B69" s="15" t="s">
        <v>33</v>
      </c>
      <c r="C69" s="28" t="s">
        <v>84</v>
      </c>
      <c r="D69" s="29">
        <f>MAX($D$8:D68)+1</f>
        <v>58</v>
      </c>
      <c r="E69" s="66" t="s">
        <v>96</v>
      </c>
      <c r="F69" s="47">
        <v>8813280342</v>
      </c>
      <c r="G69" s="86">
        <v>2.34</v>
      </c>
      <c r="H69" s="33"/>
      <c r="I69" s="34"/>
      <c r="J69" s="34">
        <f t="shared" si="0"/>
        <v>2.34</v>
      </c>
      <c r="K69" s="86">
        <v>2.34</v>
      </c>
      <c r="L69" s="33"/>
      <c r="M69" s="34"/>
      <c r="N69" s="34">
        <f t="shared" si="0"/>
        <v>2.34</v>
      </c>
      <c r="O69" s="86">
        <v>2.34</v>
      </c>
      <c r="P69" s="33"/>
      <c r="Q69" s="34"/>
      <c r="R69" s="34">
        <f t="shared" si="1"/>
        <v>2.34</v>
      </c>
      <c r="S69" s="35" t="s">
        <v>27</v>
      </c>
      <c r="T69" s="34">
        <f t="shared" si="2"/>
        <v>0.3</v>
      </c>
      <c r="U69" s="35" t="s">
        <v>27</v>
      </c>
      <c r="V69" s="34">
        <f t="shared" si="3"/>
        <v>0.3</v>
      </c>
      <c r="W69" s="35" t="s">
        <v>27</v>
      </c>
      <c r="X69" s="34">
        <f t="shared" si="4"/>
        <v>0.3</v>
      </c>
      <c r="Y69" s="36">
        <f t="shared" si="5"/>
        <v>4928040</v>
      </c>
      <c r="Z69" s="37" t="s">
        <v>496</v>
      </c>
    </row>
    <row r="70" spans="1:26" x14ac:dyDescent="0.25">
      <c r="A70" s="1" t="s">
        <v>22</v>
      </c>
      <c r="B70" s="15" t="s">
        <v>33</v>
      </c>
      <c r="C70" s="28" t="s">
        <v>84</v>
      </c>
      <c r="D70" s="29">
        <f>MAX($D$8:D69)+1</f>
        <v>59</v>
      </c>
      <c r="E70" s="66" t="s">
        <v>97</v>
      </c>
      <c r="F70" s="47">
        <v>5624660350</v>
      </c>
      <c r="G70" s="86">
        <v>2.34</v>
      </c>
      <c r="H70" s="33"/>
      <c r="I70" s="34"/>
      <c r="J70" s="34">
        <f t="shared" si="0"/>
        <v>2.34</v>
      </c>
      <c r="K70" s="86">
        <v>2.34</v>
      </c>
      <c r="L70" s="33"/>
      <c r="M70" s="34"/>
      <c r="N70" s="34">
        <f t="shared" si="0"/>
        <v>2.34</v>
      </c>
      <c r="O70" s="86">
        <v>2.34</v>
      </c>
      <c r="P70" s="33"/>
      <c r="Q70" s="34"/>
      <c r="R70" s="34">
        <f t="shared" si="1"/>
        <v>2.34</v>
      </c>
      <c r="S70" s="35" t="s">
        <v>27</v>
      </c>
      <c r="T70" s="34">
        <f t="shared" si="2"/>
        <v>0.3</v>
      </c>
      <c r="U70" s="35" t="s">
        <v>27</v>
      </c>
      <c r="V70" s="34">
        <f t="shared" si="3"/>
        <v>0.3</v>
      </c>
      <c r="W70" s="35" t="s">
        <v>27</v>
      </c>
      <c r="X70" s="34">
        <f t="shared" si="4"/>
        <v>0.3</v>
      </c>
      <c r="Y70" s="36">
        <f t="shared" si="5"/>
        <v>4928040</v>
      </c>
      <c r="Z70" s="37" t="s">
        <v>497</v>
      </c>
    </row>
    <row r="71" spans="1:26" x14ac:dyDescent="0.25">
      <c r="A71" s="1" t="s">
        <v>22</v>
      </c>
      <c r="B71" s="15" t="s">
        <v>33</v>
      </c>
      <c r="C71" s="28" t="s">
        <v>84</v>
      </c>
      <c r="D71" s="29">
        <f>MAX($D$8:D70)+1</f>
        <v>60</v>
      </c>
      <c r="E71" s="83" t="s">
        <v>98</v>
      </c>
      <c r="F71" s="47">
        <v>8891499807</v>
      </c>
      <c r="G71" s="84">
        <v>3.66</v>
      </c>
      <c r="H71" s="33"/>
      <c r="I71" s="34"/>
      <c r="J71" s="34">
        <f t="shared" si="0"/>
        <v>3.66</v>
      </c>
      <c r="K71" s="84">
        <v>3.66</v>
      </c>
      <c r="L71" s="33"/>
      <c r="M71" s="34"/>
      <c r="N71" s="34">
        <f t="shared" si="0"/>
        <v>3.66</v>
      </c>
      <c r="O71" s="84">
        <v>3.66</v>
      </c>
      <c r="P71" s="33"/>
      <c r="Q71" s="34"/>
      <c r="R71" s="34">
        <f t="shared" si="1"/>
        <v>3.66</v>
      </c>
      <c r="S71" s="35" t="s">
        <v>27</v>
      </c>
      <c r="T71" s="34">
        <f t="shared" si="2"/>
        <v>0.3</v>
      </c>
      <c r="U71" s="35" t="s">
        <v>27</v>
      </c>
      <c r="V71" s="34">
        <f t="shared" si="3"/>
        <v>0.3</v>
      </c>
      <c r="W71" s="35" t="s">
        <v>27</v>
      </c>
      <c r="X71" s="34">
        <f t="shared" si="4"/>
        <v>0.3</v>
      </c>
      <c r="Y71" s="36">
        <f t="shared" si="5"/>
        <v>7707960.0000000009</v>
      </c>
      <c r="Z71" s="37" t="s">
        <v>498</v>
      </c>
    </row>
    <row r="72" spans="1:26" x14ac:dyDescent="0.25">
      <c r="A72" s="1" t="s">
        <v>22</v>
      </c>
      <c r="B72" s="15" t="s">
        <v>33</v>
      </c>
      <c r="C72" s="28" t="s">
        <v>84</v>
      </c>
      <c r="D72" s="29">
        <f>MAX($D$8:D71)+1</f>
        <v>61</v>
      </c>
      <c r="E72" s="87" t="s">
        <v>99</v>
      </c>
      <c r="F72" s="57" t="s">
        <v>100</v>
      </c>
      <c r="G72" s="56">
        <v>3.99</v>
      </c>
      <c r="H72" s="34"/>
      <c r="I72" s="88"/>
      <c r="J72" s="34">
        <f t="shared" si="0"/>
        <v>3.99</v>
      </c>
      <c r="K72" s="56">
        <v>3.99</v>
      </c>
      <c r="L72" s="34"/>
      <c r="M72" s="88"/>
      <c r="N72" s="34">
        <f t="shared" si="0"/>
        <v>3.99</v>
      </c>
      <c r="O72" s="56">
        <v>3.99</v>
      </c>
      <c r="P72" s="34"/>
      <c r="Q72" s="88"/>
      <c r="R72" s="34">
        <f t="shared" si="1"/>
        <v>3.99</v>
      </c>
      <c r="S72" s="35" t="s">
        <v>27</v>
      </c>
      <c r="T72" s="34">
        <f t="shared" si="2"/>
        <v>0.3</v>
      </c>
      <c r="U72" s="35" t="s">
        <v>27</v>
      </c>
      <c r="V72" s="34">
        <f t="shared" si="3"/>
        <v>0.3</v>
      </c>
      <c r="W72" s="35" t="s">
        <v>27</v>
      </c>
      <c r="X72" s="34">
        <f t="shared" si="4"/>
        <v>0.3</v>
      </c>
      <c r="Y72" s="36">
        <f t="shared" si="5"/>
        <v>8402940</v>
      </c>
      <c r="Z72" s="37" t="s">
        <v>499</v>
      </c>
    </row>
    <row r="73" spans="1:26" x14ac:dyDescent="0.25">
      <c r="A73" s="1" t="s">
        <v>22</v>
      </c>
      <c r="B73" s="15" t="s">
        <v>33</v>
      </c>
      <c r="C73" s="28" t="s">
        <v>84</v>
      </c>
      <c r="D73" s="29">
        <f>MAX($D$8:D72)+1</f>
        <v>62</v>
      </c>
      <c r="E73" s="89" t="s">
        <v>101</v>
      </c>
      <c r="F73" s="55">
        <v>8837399104</v>
      </c>
      <c r="G73" s="56">
        <v>3.66</v>
      </c>
      <c r="H73" s="34"/>
      <c r="I73" s="88"/>
      <c r="J73" s="34">
        <f t="shared" si="0"/>
        <v>3.66</v>
      </c>
      <c r="K73" s="56">
        <v>3.66</v>
      </c>
      <c r="L73" s="34"/>
      <c r="M73" s="88"/>
      <c r="N73" s="34">
        <f t="shared" si="0"/>
        <v>3.66</v>
      </c>
      <c r="O73" s="56">
        <v>3.66</v>
      </c>
      <c r="P73" s="34"/>
      <c r="Q73" s="88"/>
      <c r="R73" s="34">
        <f t="shared" si="1"/>
        <v>3.66</v>
      </c>
      <c r="S73" s="35" t="s">
        <v>27</v>
      </c>
      <c r="T73" s="34">
        <f t="shared" si="2"/>
        <v>0.3</v>
      </c>
      <c r="U73" s="35" t="s">
        <v>27</v>
      </c>
      <c r="V73" s="34">
        <f t="shared" si="3"/>
        <v>0.3</v>
      </c>
      <c r="W73" s="35" t="s">
        <v>27</v>
      </c>
      <c r="X73" s="34">
        <f t="shared" si="4"/>
        <v>0.3</v>
      </c>
      <c r="Y73" s="36">
        <f t="shared" si="5"/>
        <v>7707960.0000000009</v>
      </c>
      <c r="Z73" s="37" t="s">
        <v>500</v>
      </c>
    </row>
    <row r="74" spans="1:26" x14ac:dyDescent="0.25">
      <c r="A74" s="1" t="s">
        <v>22</v>
      </c>
      <c r="B74" s="15" t="s">
        <v>33</v>
      </c>
      <c r="C74" s="28" t="s">
        <v>84</v>
      </c>
      <c r="D74" s="29">
        <f>MAX($D$8:D73)+1</f>
        <v>63</v>
      </c>
      <c r="E74" s="89" t="s">
        <v>102</v>
      </c>
      <c r="F74" s="55">
        <v>8837397185</v>
      </c>
      <c r="G74" s="56">
        <v>3</v>
      </c>
      <c r="H74" s="34"/>
      <c r="I74" s="88"/>
      <c r="J74" s="34">
        <f t="shared" ref="J74:N137" si="6">G74+H74+I74</f>
        <v>3</v>
      </c>
      <c r="K74" s="56">
        <v>3</v>
      </c>
      <c r="L74" s="34"/>
      <c r="M74" s="88"/>
      <c r="N74" s="34">
        <f t="shared" si="6"/>
        <v>3</v>
      </c>
      <c r="O74" s="56">
        <v>3</v>
      </c>
      <c r="P74" s="34"/>
      <c r="Q74" s="88"/>
      <c r="R74" s="34">
        <f t="shared" ref="R74:R137" si="7">O74+P74+Q74</f>
        <v>3</v>
      </c>
      <c r="S74" s="35" t="s">
        <v>27</v>
      </c>
      <c r="T74" s="34">
        <f t="shared" ref="T74:T137" si="8">IF(S74="hoàn thành xuất sắc nhiệm vụ",0.5,IF(S74="hoàn thành tốt nhiệm vụ",0.3,IF(S74="hoàn thành nhiệm vụ",0.1,0)))</f>
        <v>0.3</v>
      </c>
      <c r="U74" s="35" t="s">
        <v>27</v>
      </c>
      <c r="V74" s="34">
        <f t="shared" ref="V74:V137" si="9">IF(U74="hoàn thành xuất sắc nhiệm vụ",0.5,IF(U74="hoàn thành tốt nhiệm vụ",0.3,IF(U74="hoàn thành nhiệm vụ",0.1,0)))</f>
        <v>0.3</v>
      </c>
      <c r="W74" s="35" t="s">
        <v>27</v>
      </c>
      <c r="X74" s="34">
        <f t="shared" ref="X74:X137" si="10">IF(W74="hoàn thành xuất sắc nhiệm vụ",0.5,IF(W74="hoàn thành tốt nhiệm vụ",0.3,IF(W74="hoàn thành nhiệm vụ",0.1,0)))</f>
        <v>0.3</v>
      </c>
      <c r="Y74" s="36">
        <f t="shared" ref="Y74:Y137" si="11">(J74*T74+N74*V74+R74*X74)*2340000</f>
        <v>6317999.9999999991</v>
      </c>
      <c r="Z74" s="37" t="s">
        <v>501</v>
      </c>
    </row>
    <row r="75" spans="1:26" x14ac:dyDescent="0.25">
      <c r="A75" s="1" t="s">
        <v>22</v>
      </c>
      <c r="B75" s="15" t="s">
        <v>33</v>
      </c>
      <c r="C75" s="28" t="s">
        <v>84</v>
      </c>
      <c r="D75" s="29">
        <f>MAX($D$8:D74)+1</f>
        <v>64</v>
      </c>
      <c r="E75" s="90" t="s">
        <v>103</v>
      </c>
      <c r="F75" s="55">
        <v>8847397566</v>
      </c>
      <c r="G75" s="56">
        <v>3</v>
      </c>
      <c r="H75" s="34"/>
      <c r="I75" s="88"/>
      <c r="J75" s="34">
        <f t="shared" si="6"/>
        <v>3</v>
      </c>
      <c r="K75" s="56">
        <v>3</v>
      </c>
      <c r="L75" s="34"/>
      <c r="M75" s="88"/>
      <c r="N75" s="34">
        <f t="shared" si="6"/>
        <v>3</v>
      </c>
      <c r="O75" s="56">
        <v>3</v>
      </c>
      <c r="P75" s="34"/>
      <c r="Q75" s="88"/>
      <c r="R75" s="34">
        <f t="shared" si="7"/>
        <v>3</v>
      </c>
      <c r="S75" s="35" t="s">
        <v>27</v>
      </c>
      <c r="T75" s="34">
        <f t="shared" si="8"/>
        <v>0.3</v>
      </c>
      <c r="U75" s="35" t="s">
        <v>27</v>
      </c>
      <c r="V75" s="34">
        <f t="shared" si="9"/>
        <v>0.3</v>
      </c>
      <c r="W75" s="35" t="s">
        <v>27</v>
      </c>
      <c r="X75" s="34">
        <f t="shared" si="10"/>
        <v>0.3</v>
      </c>
      <c r="Y75" s="36">
        <f t="shared" si="11"/>
        <v>6317999.9999999991</v>
      </c>
      <c r="Z75" s="37" t="s">
        <v>502</v>
      </c>
    </row>
    <row r="76" spans="1:26" x14ac:dyDescent="0.25">
      <c r="A76" s="1" t="s">
        <v>22</v>
      </c>
      <c r="B76" s="15" t="s">
        <v>33</v>
      </c>
      <c r="C76" s="28" t="s">
        <v>84</v>
      </c>
      <c r="D76" s="29">
        <f>MAX($D$8:D75)+1</f>
        <v>65</v>
      </c>
      <c r="E76" s="89" t="s">
        <v>104</v>
      </c>
      <c r="F76" s="55">
        <v>8887397187</v>
      </c>
      <c r="G76" s="56">
        <v>3</v>
      </c>
      <c r="H76" s="34"/>
      <c r="I76" s="88"/>
      <c r="J76" s="34">
        <f t="shared" si="6"/>
        <v>3</v>
      </c>
      <c r="K76" s="56">
        <v>3</v>
      </c>
      <c r="L76" s="34"/>
      <c r="M76" s="88"/>
      <c r="N76" s="34">
        <f t="shared" si="6"/>
        <v>3</v>
      </c>
      <c r="O76" s="56">
        <v>3</v>
      </c>
      <c r="P76" s="34"/>
      <c r="Q76" s="88"/>
      <c r="R76" s="34">
        <f t="shared" si="7"/>
        <v>3</v>
      </c>
      <c r="S76" s="35" t="s">
        <v>27</v>
      </c>
      <c r="T76" s="34">
        <f t="shared" si="8"/>
        <v>0.3</v>
      </c>
      <c r="U76" s="35" t="s">
        <v>27</v>
      </c>
      <c r="V76" s="34">
        <f t="shared" si="9"/>
        <v>0.3</v>
      </c>
      <c r="W76" s="35" t="s">
        <v>27</v>
      </c>
      <c r="X76" s="34">
        <f t="shared" si="10"/>
        <v>0.3</v>
      </c>
      <c r="Y76" s="36">
        <f t="shared" si="11"/>
        <v>6317999.9999999991</v>
      </c>
      <c r="Z76" s="37" t="s">
        <v>503</v>
      </c>
    </row>
    <row r="77" spans="1:26" x14ac:dyDescent="0.25">
      <c r="A77" s="1" t="s">
        <v>22</v>
      </c>
      <c r="B77" s="15" t="s">
        <v>33</v>
      </c>
      <c r="C77" s="28" t="s">
        <v>84</v>
      </c>
      <c r="D77" s="29">
        <f>MAX($D$8:D76)+1</f>
        <v>66</v>
      </c>
      <c r="E77" s="76" t="s">
        <v>105</v>
      </c>
      <c r="F77" s="55">
        <v>8887396184</v>
      </c>
      <c r="G77" s="56">
        <v>2.67</v>
      </c>
      <c r="H77" s="34"/>
      <c r="I77" s="88"/>
      <c r="J77" s="34">
        <f t="shared" si="6"/>
        <v>2.67</v>
      </c>
      <c r="K77" s="56">
        <v>2.67</v>
      </c>
      <c r="L77" s="34"/>
      <c r="M77" s="88"/>
      <c r="N77" s="34">
        <f t="shared" si="6"/>
        <v>2.67</v>
      </c>
      <c r="O77" s="56">
        <v>2.67</v>
      </c>
      <c r="P77" s="34"/>
      <c r="Q77" s="88"/>
      <c r="R77" s="34">
        <f t="shared" si="7"/>
        <v>2.67</v>
      </c>
      <c r="S77" s="35" t="s">
        <v>27</v>
      </c>
      <c r="T77" s="34">
        <f t="shared" si="8"/>
        <v>0.3</v>
      </c>
      <c r="U77" s="35" t="s">
        <v>27</v>
      </c>
      <c r="V77" s="34">
        <f t="shared" si="9"/>
        <v>0.3</v>
      </c>
      <c r="W77" s="35" t="s">
        <v>27</v>
      </c>
      <c r="X77" s="34">
        <f t="shared" si="10"/>
        <v>0.3</v>
      </c>
      <c r="Y77" s="36">
        <f t="shared" si="11"/>
        <v>5623019.9999999991</v>
      </c>
      <c r="Z77" s="37" t="s">
        <v>504</v>
      </c>
    </row>
    <row r="78" spans="1:26" x14ac:dyDescent="0.25">
      <c r="A78" s="1" t="s">
        <v>22</v>
      </c>
      <c r="B78" s="15" t="s">
        <v>33</v>
      </c>
      <c r="C78" s="28" t="s">
        <v>84</v>
      </c>
      <c r="D78" s="29">
        <f>MAX($D$8:D77)+1</f>
        <v>67</v>
      </c>
      <c r="E78" s="76" t="s">
        <v>106</v>
      </c>
      <c r="F78" s="59">
        <v>8847402296</v>
      </c>
      <c r="G78" s="56">
        <v>3</v>
      </c>
      <c r="H78" s="34"/>
      <c r="I78" s="88"/>
      <c r="J78" s="34">
        <f t="shared" si="6"/>
        <v>3</v>
      </c>
      <c r="K78" s="56">
        <v>3</v>
      </c>
      <c r="L78" s="34"/>
      <c r="M78" s="88"/>
      <c r="N78" s="34">
        <f t="shared" si="6"/>
        <v>3</v>
      </c>
      <c r="O78" s="56">
        <v>3</v>
      </c>
      <c r="P78" s="34"/>
      <c r="Q78" s="88"/>
      <c r="R78" s="34">
        <f t="shared" si="7"/>
        <v>3</v>
      </c>
      <c r="S78" s="35" t="s">
        <v>27</v>
      </c>
      <c r="T78" s="34">
        <f t="shared" si="8"/>
        <v>0.3</v>
      </c>
      <c r="U78" s="35" t="s">
        <v>27</v>
      </c>
      <c r="V78" s="34">
        <f t="shared" si="9"/>
        <v>0.3</v>
      </c>
      <c r="W78" s="35" t="s">
        <v>27</v>
      </c>
      <c r="X78" s="34">
        <f t="shared" si="10"/>
        <v>0.3</v>
      </c>
      <c r="Y78" s="36">
        <f t="shared" si="11"/>
        <v>6317999.9999999991</v>
      </c>
      <c r="Z78" s="37" t="s">
        <v>505</v>
      </c>
    </row>
    <row r="79" spans="1:26" x14ac:dyDescent="0.25">
      <c r="A79" s="1" t="s">
        <v>22</v>
      </c>
      <c r="B79" s="15" t="s">
        <v>33</v>
      </c>
      <c r="C79" s="28" t="s">
        <v>84</v>
      </c>
      <c r="D79" s="29">
        <f>MAX($D$8:D78)+1</f>
        <v>68</v>
      </c>
      <c r="E79" s="76" t="s">
        <v>107</v>
      </c>
      <c r="F79" s="57" t="s">
        <v>108</v>
      </c>
      <c r="G79" s="56">
        <v>2.67</v>
      </c>
      <c r="H79" s="34"/>
      <c r="I79" s="88"/>
      <c r="J79" s="34">
        <f t="shared" si="6"/>
        <v>2.67</v>
      </c>
      <c r="K79" s="56">
        <v>2.67</v>
      </c>
      <c r="L79" s="34"/>
      <c r="M79" s="88"/>
      <c r="N79" s="34">
        <f t="shared" si="6"/>
        <v>2.67</v>
      </c>
      <c r="O79" s="56">
        <v>2.67</v>
      </c>
      <c r="P79" s="34"/>
      <c r="Q79" s="88"/>
      <c r="R79" s="34">
        <f t="shared" si="7"/>
        <v>2.67</v>
      </c>
      <c r="S79" s="35" t="s">
        <v>27</v>
      </c>
      <c r="T79" s="34">
        <f t="shared" si="8"/>
        <v>0.3</v>
      </c>
      <c r="U79" s="35" t="s">
        <v>27</v>
      </c>
      <c r="V79" s="34">
        <f t="shared" si="9"/>
        <v>0.3</v>
      </c>
      <c r="W79" s="35" t="s">
        <v>27</v>
      </c>
      <c r="X79" s="34">
        <f t="shared" si="10"/>
        <v>0.3</v>
      </c>
      <c r="Y79" s="36">
        <f t="shared" si="11"/>
        <v>5623019.9999999991</v>
      </c>
      <c r="Z79" s="37" t="s">
        <v>506</v>
      </c>
    </row>
    <row r="80" spans="1:26" x14ac:dyDescent="0.25">
      <c r="A80" s="1" t="s">
        <v>22</v>
      </c>
      <c r="B80" s="15" t="s">
        <v>33</v>
      </c>
      <c r="C80" s="28" t="s">
        <v>84</v>
      </c>
      <c r="D80" s="29">
        <f>MAX($D$8:D79)+1</f>
        <v>69</v>
      </c>
      <c r="E80" s="89" t="s">
        <v>109</v>
      </c>
      <c r="F80" s="55">
        <v>8837396231</v>
      </c>
      <c r="G80" s="56">
        <v>2.67</v>
      </c>
      <c r="H80" s="34"/>
      <c r="I80" s="88"/>
      <c r="J80" s="34">
        <f t="shared" si="6"/>
        <v>2.67</v>
      </c>
      <c r="K80" s="56">
        <v>2.67</v>
      </c>
      <c r="L80" s="34"/>
      <c r="M80" s="88"/>
      <c r="N80" s="34">
        <f t="shared" si="6"/>
        <v>2.67</v>
      </c>
      <c r="O80" s="56">
        <v>2.67</v>
      </c>
      <c r="P80" s="34"/>
      <c r="Q80" s="88"/>
      <c r="R80" s="34">
        <f t="shared" si="7"/>
        <v>2.67</v>
      </c>
      <c r="S80" s="35" t="s">
        <v>27</v>
      </c>
      <c r="T80" s="34">
        <f t="shared" si="8"/>
        <v>0.3</v>
      </c>
      <c r="U80" s="35" t="s">
        <v>27</v>
      </c>
      <c r="V80" s="34">
        <f t="shared" si="9"/>
        <v>0.3</v>
      </c>
      <c r="W80" s="35" t="s">
        <v>27</v>
      </c>
      <c r="X80" s="34">
        <f t="shared" si="10"/>
        <v>0.3</v>
      </c>
      <c r="Y80" s="36">
        <f t="shared" si="11"/>
        <v>5623019.9999999991</v>
      </c>
      <c r="Z80" s="37" t="s">
        <v>507</v>
      </c>
    </row>
    <row r="81" spans="1:26" x14ac:dyDescent="0.25">
      <c r="A81" s="1" t="s">
        <v>22</v>
      </c>
      <c r="B81" s="15" t="s">
        <v>33</v>
      </c>
      <c r="C81" s="28" t="s">
        <v>84</v>
      </c>
      <c r="D81" s="29">
        <f>MAX($D$8:D80)+1</f>
        <v>70</v>
      </c>
      <c r="E81" s="89" t="s">
        <v>110</v>
      </c>
      <c r="F81" s="55">
        <v>8827397335</v>
      </c>
      <c r="G81" s="56">
        <v>2.67</v>
      </c>
      <c r="H81" s="34"/>
      <c r="I81" s="88"/>
      <c r="J81" s="34">
        <f t="shared" si="6"/>
        <v>2.67</v>
      </c>
      <c r="K81" s="56">
        <v>2.67</v>
      </c>
      <c r="L81" s="34"/>
      <c r="M81" s="88"/>
      <c r="N81" s="34">
        <f t="shared" si="6"/>
        <v>2.67</v>
      </c>
      <c r="O81" s="56">
        <v>2.67</v>
      </c>
      <c r="P81" s="34"/>
      <c r="Q81" s="88"/>
      <c r="R81" s="34">
        <f t="shared" si="7"/>
        <v>2.67</v>
      </c>
      <c r="S81" s="35" t="s">
        <v>27</v>
      </c>
      <c r="T81" s="34">
        <f t="shared" si="8"/>
        <v>0.3</v>
      </c>
      <c r="U81" s="35" t="s">
        <v>27</v>
      </c>
      <c r="V81" s="34">
        <f t="shared" si="9"/>
        <v>0.3</v>
      </c>
      <c r="W81" s="35" t="s">
        <v>27</v>
      </c>
      <c r="X81" s="34">
        <f t="shared" si="10"/>
        <v>0.3</v>
      </c>
      <c r="Y81" s="36">
        <f t="shared" si="11"/>
        <v>5623019.9999999991</v>
      </c>
      <c r="Z81" s="37" t="s">
        <v>508</v>
      </c>
    </row>
    <row r="82" spans="1:26" x14ac:dyDescent="0.25">
      <c r="A82" s="1" t="s">
        <v>22</v>
      </c>
      <c r="B82" s="15" t="s">
        <v>33</v>
      </c>
      <c r="C82" s="28" t="s">
        <v>84</v>
      </c>
      <c r="D82" s="29">
        <f>MAX($D$8:D81)+1</f>
        <v>71</v>
      </c>
      <c r="E82" s="87" t="s">
        <v>111</v>
      </c>
      <c r="F82" s="59">
        <v>8807398456</v>
      </c>
      <c r="G82" s="56">
        <v>2.34</v>
      </c>
      <c r="H82" s="34"/>
      <c r="I82" s="88"/>
      <c r="J82" s="34">
        <f t="shared" si="6"/>
        <v>2.34</v>
      </c>
      <c r="K82" s="56">
        <v>2.34</v>
      </c>
      <c r="L82" s="34"/>
      <c r="M82" s="88"/>
      <c r="N82" s="34">
        <f t="shared" si="6"/>
        <v>2.34</v>
      </c>
      <c r="O82" s="56">
        <v>2.34</v>
      </c>
      <c r="P82" s="34"/>
      <c r="Q82" s="88"/>
      <c r="R82" s="34">
        <f t="shared" si="7"/>
        <v>2.34</v>
      </c>
      <c r="S82" s="35" t="s">
        <v>27</v>
      </c>
      <c r="T82" s="34">
        <f t="shared" si="8"/>
        <v>0.3</v>
      </c>
      <c r="U82" s="35" t="s">
        <v>27</v>
      </c>
      <c r="V82" s="34">
        <f t="shared" si="9"/>
        <v>0.3</v>
      </c>
      <c r="W82" s="35" t="s">
        <v>27</v>
      </c>
      <c r="X82" s="34">
        <f t="shared" si="10"/>
        <v>0.3</v>
      </c>
      <c r="Y82" s="36">
        <f t="shared" si="11"/>
        <v>4928040</v>
      </c>
      <c r="Z82" s="37" t="s">
        <v>509</v>
      </c>
    </row>
    <row r="83" spans="1:26" x14ac:dyDescent="0.25">
      <c r="A83" s="1" t="s">
        <v>22</v>
      </c>
      <c r="B83" s="15" t="s">
        <v>33</v>
      </c>
      <c r="C83" s="28" t="s">
        <v>84</v>
      </c>
      <c r="D83" s="29">
        <f>MAX($D$8:D82)+1</f>
        <v>72</v>
      </c>
      <c r="E83" s="76" t="s">
        <v>112</v>
      </c>
      <c r="F83" s="57" t="s">
        <v>113</v>
      </c>
      <c r="G83" s="56">
        <v>2.34</v>
      </c>
      <c r="H83" s="34"/>
      <c r="I83" s="88"/>
      <c r="J83" s="34">
        <f t="shared" si="6"/>
        <v>2.34</v>
      </c>
      <c r="K83" s="56">
        <v>2.34</v>
      </c>
      <c r="L83" s="34"/>
      <c r="M83" s="88"/>
      <c r="N83" s="34">
        <f t="shared" si="6"/>
        <v>2.34</v>
      </c>
      <c r="O83" s="56">
        <v>2.34</v>
      </c>
      <c r="P83" s="34"/>
      <c r="Q83" s="88"/>
      <c r="R83" s="34">
        <f t="shared" si="7"/>
        <v>2.34</v>
      </c>
      <c r="S83" s="35" t="s">
        <v>27</v>
      </c>
      <c r="T83" s="34">
        <f t="shared" si="8"/>
        <v>0.3</v>
      </c>
      <c r="U83" s="35" t="s">
        <v>27</v>
      </c>
      <c r="V83" s="34">
        <f t="shared" si="9"/>
        <v>0.3</v>
      </c>
      <c r="W83" s="35" t="s">
        <v>27</v>
      </c>
      <c r="X83" s="34">
        <f t="shared" si="10"/>
        <v>0.3</v>
      </c>
      <c r="Y83" s="36">
        <f t="shared" si="11"/>
        <v>4928040</v>
      </c>
      <c r="Z83" s="37" t="s">
        <v>510</v>
      </c>
    </row>
    <row r="84" spans="1:26" x14ac:dyDescent="0.25">
      <c r="A84" s="1" t="s">
        <v>22</v>
      </c>
      <c r="B84" s="15" t="s">
        <v>33</v>
      </c>
      <c r="C84" s="28" t="s">
        <v>84</v>
      </c>
      <c r="D84" s="29">
        <f>MAX($D$8:D83)+1</f>
        <v>73</v>
      </c>
      <c r="E84" s="64" t="s">
        <v>114</v>
      </c>
      <c r="F84" s="31">
        <v>5611148230</v>
      </c>
      <c r="G84" s="82">
        <v>3.66</v>
      </c>
      <c r="H84" s="33"/>
      <c r="I84" s="34"/>
      <c r="J84" s="34">
        <f t="shared" si="6"/>
        <v>3.66</v>
      </c>
      <c r="K84" s="82">
        <v>3.66</v>
      </c>
      <c r="L84" s="33"/>
      <c r="M84" s="34"/>
      <c r="N84" s="34">
        <f t="shared" si="6"/>
        <v>3.66</v>
      </c>
      <c r="O84" s="82">
        <v>3.66</v>
      </c>
      <c r="P84" s="33"/>
      <c r="Q84" s="34"/>
      <c r="R84" s="34">
        <f t="shared" si="7"/>
        <v>3.66</v>
      </c>
      <c r="S84" s="35" t="s">
        <v>27</v>
      </c>
      <c r="T84" s="34">
        <f t="shared" si="8"/>
        <v>0.3</v>
      </c>
      <c r="U84" s="35" t="s">
        <v>27</v>
      </c>
      <c r="V84" s="34">
        <f t="shared" si="9"/>
        <v>0.3</v>
      </c>
      <c r="W84" s="35" t="s">
        <v>27</v>
      </c>
      <c r="X84" s="34">
        <f t="shared" si="10"/>
        <v>0.3</v>
      </c>
      <c r="Y84" s="36">
        <f t="shared" si="11"/>
        <v>7707960.0000000009</v>
      </c>
      <c r="Z84" s="37" t="s">
        <v>511</v>
      </c>
    </row>
    <row r="85" spans="1:26" x14ac:dyDescent="0.25">
      <c r="A85" s="1" t="s">
        <v>22</v>
      </c>
      <c r="B85" s="15" t="s">
        <v>33</v>
      </c>
      <c r="C85" s="28" t="s">
        <v>84</v>
      </c>
      <c r="D85" s="29">
        <f>MAX($D$8:D84)+1</f>
        <v>74</v>
      </c>
      <c r="E85" s="64" t="s">
        <v>115</v>
      </c>
      <c r="F85" s="31">
        <v>5611148276</v>
      </c>
      <c r="G85" s="82">
        <v>3</v>
      </c>
      <c r="H85" s="33"/>
      <c r="I85" s="34"/>
      <c r="J85" s="34">
        <f t="shared" si="6"/>
        <v>3</v>
      </c>
      <c r="K85" s="82">
        <v>3</v>
      </c>
      <c r="L85" s="33"/>
      <c r="M85" s="34"/>
      <c r="N85" s="34">
        <f t="shared" si="6"/>
        <v>3</v>
      </c>
      <c r="O85" s="82">
        <v>3</v>
      </c>
      <c r="P85" s="33"/>
      <c r="Q85" s="34"/>
      <c r="R85" s="34">
        <f t="shared" si="7"/>
        <v>3</v>
      </c>
      <c r="S85" s="35" t="s">
        <v>27</v>
      </c>
      <c r="T85" s="34">
        <f t="shared" si="8"/>
        <v>0.3</v>
      </c>
      <c r="U85" s="35" t="s">
        <v>27</v>
      </c>
      <c r="V85" s="34">
        <f t="shared" si="9"/>
        <v>0.3</v>
      </c>
      <c r="W85" s="35" t="s">
        <v>27</v>
      </c>
      <c r="X85" s="34">
        <f t="shared" si="10"/>
        <v>0.3</v>
      </c>
      <c r="Y85" s="36">
        <f t="shared" si="11"/>
        <v>6317999.9999999991</v>
      </c>
      <c r="Z85" s="37" t="s">
        <v>512</v>
      </c>
    </row>
    <row r="86" spans="1:26" x14ac:dyDescent="0.25">
      <c r="A86" s="1" t="s">
        <v>22</v>
      </c>
      <c r="B86" s="15" t="s">
        <v>33</v>
      </c>
      <c r="C86" s="28" t="s">
        <v>84</v>
      </c>
      <c r="D86" s="29">
        <f>MAX($D$8:D85)+1</f>
        <v>75</v>
      </c>
      <c r="E86" s="64" t="s">
        <v>116</v>
      </c>
      <c r="F86" s="31">
        <v>5610702943</v>
      </c>
      <c r="G86" s="82">
        <v>3.06</v>
      </c>
      <c r="H86" s="33"/>
      <c r="I86" s="34"/>
      <c r="J86" s="34">
        <f t="shared" si="6"/>
        <v>3.06</v>
      </c>
      <c r="K86" s="82">
        <v>3.06</v>
      </c>
      <c r="L86" s="33"/>
      <c r="M86" s="34"/>
      <c r="N86" s="34">
        <f t="shared" si="6"/>
        <v>3.06</v>
      </c>
      <c r="O86" s="82">
        <v>3.06</v>
      </c>
      <c r="P86" s="33"/>
      <c r="Q86" s="34"/>
      <c r="R86" s="34">
        <f t="shared" si="7"/>
        <v>3.06</v>
      </c>
      <c r="S86" s="35" t="s">
        <v>27</v>
      </c>
      <c r="T86" s="34">
        <f t="shared" si="8"/>
        <v>0.3</v>
      </c>
      <c r="U86" s="35" t="s">
        <v>27</v>
      </c>
      <c r="V86" s="34">
        <f t="shared" si="9"/>
        <v>0.3</v>
      </c>
      <c r="W86" s="35" t="s">
        <v>27</v>
      </c>
      <c r="X86" s="34">
        <f t="shared" si="10"/>
        <v>0.3</v>
      </c>
      <c r="Y86" s="36">
        <f t="shared" si="11"/>
        <v>6444359.9999999991</v>
      </c>
      <c r="Z86" s="37" t="s">
        <v>513</v>
      </c>
    </row>
    <row r="87" spans="1:26" x14ac:dyDescent="0.25">
      <c r="B87" s="15"/>
      <c r="C87" s="28"/>
      <c r="D87" s="29" t="s">
        <v>20</v>
      </c>
      <c r="E87" s="44" t="s">
        <v>117</v>
      </c>
      <c r="F87" s="31"/>
      <c r="G87" s="32"/>
      <c r="H87" s="32"/>
      <c r="I87" s="32"/>
      <c r="J87" s="34"/>
      <c r="K87" s="32"/>
      <c r="L87" s="32"/>
      <c r="M87" s="32"/>
      <c r="N87" s="34"/>
      <c r="O87" s="32"/>
      <c r="P87" s="32"/>
      <c r="Q87" s="32"/>
      <c r="R87" s="34"/>
      <c r="S87" s="35"/>
      <c r="T87" s="34"/>
      <c r="U87" s="35"/>
      <c r="V87" s="34"/>
      <c r="W87" s="35"/>
      <c r="X87" s="34"/>
      <c r="Y87" s="36"/>
      <c r="Z87" s="37"/>
    </row>
    <row r="88" spans="1:26" ht="28.5" x14ac:dyDescent="0.25">
      <c r="A88" s="1" t="s">
        <v>22</v>
      </c>
      <c r="B88" s="15" t="s">
        <v>23</v>
      </c>
      <c r="C88" s="28" t="s">
        <v>118</v>
      </c>
      <c r="D88" s="29">
        <f>MAX($D$8:D87)+1</f>
        <v>76</v>
      </c>
      <c r="E88" s="64" t="s">
        <v>119</v>
      </c>
      <c r="F88" s="31">
        <v>5610229406</v>
      </c>
      <c r="G88" s="32">
        <v>4.9800000000000004</v>
      </c>
      <c r="H88" s="33">
        <f>G88*10%</f>
        <v>0.49800000000000005</v>
      </c>
      <c r="I88" s="34">
        <v>0.5</v>
      </c>
      <c r="J88" s="34">
        <f t="shared" si="6"/>
        <v>5.9780000000000006</v>
      </c>
      <c r="K88" s="32">
        <v>4.9800000000000004</v>
      </c>
      <c r="L88" s="33">
        <f>K88*11%</f>
        <v>0.54780000000000006</v>
      </c>
      <c r="M88" s="34">
        <v>0.5</v>
      </c>
      <c r="N88" s="34">
        <f t="shared" si="6"/>
        <v>6.0278000000000009</v>
      </c>
      <c r="O88" s="32">
        <v>4.9800000000000004</v>
      </c>
      <c r="P88" s="33">
        <f>L88</f>
        <v>0.54780000000000006</v>
      </c>
      <c r="Q88" s="34">
        <v>0.5</v>
      </c>
      <c r="R88" s="34">
        <f t="shared" si="7"/>
        <v>6.0278000000000009</v>
      </c>
      <c r="S88" s="35" t="s">
        <v>27</v>
      </c>
      <c r="T88" s="34">
        <f t="shared" si="8"/>
        <v>0.3</v>
      </c>
      <c r="U88" s="35" t="s">
        <v>27</v>
      </c>
      <c r="V88" s="34">
        <f t="shared" si="9"/>
        <v>0.3</v>
      </c>
      <c r="W88" s="35" t="s">
        <v>27</v>
      </c>
      <c r="X88" s="34">
        <f t="shared" si="10"/>
        <v>0.3</v>
      </c>
      <c r="Y88" s="36">
        <f t="shared" si="11"/>
        <v>12659587.200000001</v>
      </c>
      <c r="Z88" s="37" t="s">
        <v>514</v>
      </c>
    </row>
    <row r="89" spans="1:26" ht="28.5" x14ac:dyDescent="0.25">
      <c r="A89" s="1" t="s">
        <v>22</v>
      </c>
      <c r="B89" s="15" t="s">
        <v>23</v>
      </c>
      <c r="C89" s="28" t="s">
        <v>118</v>
      </c>
      <c r="D89" s="29">
        <f>MAX($D$8:D88)+1</f>
        <v>77</v>
      </c>
      <c r="E89" s="64" t="s">
        <v>120</v>
      </c>
      <c r="F89" s="31">
        <v>5611149905</v>
      </c>
      <c r="G89" s="32">
        <v>4.32</v>
      </c>
      <c r="H89" s="32"/>
      <c r="I89" s="32"/>
      <c r="J89" s="34">
        <f t="shared" si="6"/>
        <v>4.32</v>
      </c>
      <c r="K89" s="32">
        <v>4.32</v>
      </c>
      <c r="L89" s="32"/>
      <c r="M89" s="32"/>
      <c r="N89" s="34">
        <f t="shared" si="6"/>
        <v>4.32</v>
      </c>
      <c r="O89" s="32">
        <v>4.32</v>
      </c>
      <c r="P89" s="32"/>
      <c r="Q89" s="32"/>
      <c r="R89" s="34">
        <f t="shared" si="7"/>
        <v>4.32</v>
      </c>
      <c r="S89" s="35" t="s">
        <v>27</v>
      </c>
      <c r="T89" s="34">
        <f t="shared" si="8"/>
        <v>0.3</v>
      </c>
      <c r="U89" s="35" t="s">
        <v>27</v>
      </c>
      <c r="V89" s="34">
        <f t="shared" si="9"/>
        <v>0.3</v>
      </c>
      <c r="W89" s="35" t="s">
        <v>27</v>
      </c>
      <c r="X89" s="34">
        <f t="shared" si="10"/>
        <v>0.3</v>
      </c>
      <c r="Y89" s="36">
        <f t="shared" si="11"/>
        <v>9097920</v>
      </c>
      <c r="Z89" s="37" t="s">
        <v>515</v>
      </c>
    </row>
    <row r="90" spans="1:26" ht="28.5" x14ac:dyDescent="0.25">
      <c r="A90" s="1" t="s">
        <v>22</v>
      </c>
      <c r="B90" s="15" t="s">
        <v>23</v>
      </c>
      <c r="C90" s="28" t="s">
        <v>118</v>
      </c>
      <c r="D90" s="29">
        <f>MAX($D$8:D89)+1</f>
        <v>78</v>
      </c>
      <c r="E90" s="30" t="s">
        <v>121</v>
      </c>
      <c r="F90" s="31">
        <v>5611151159</v>
      </c>
      <c r="G90" s="61">
        <v>3.65</v>
      </c>
      <c r="H90" s="61"/>
      <c r="I90" s="61"/>
      <c r="J90" s="34">
        <f t="shared" si="6"/>
        <v>3.65</v>
      </c>
      <c r="K90" s="32">
        <v>3.65</v>
      </c>
      <c r="L90" s="32"/>
      <c r="M90" s="32"/>
      <c r="N90" s="34">
        <f t="shared" si="6"/>
        <v>3.65</v>
      </c>
      <c r="O90" s="32">
        <v>3.65</v>
      </c>
      <c r="P90" s="32"/>
      <c r="Q90" s="32"/>
      <c r="R90" s="34">
        <f t="shared" si="7"/>
        <v>3.65</v>
      </c>
      <c r="S90" s="35" t="s">
        <v>27</v>
      </c>
      <c r="T90" s="34">
        <f t="shared" si="8"/>
        <v>0.3</v>
      </c>
      <c r="U90" s="35" t="s">
        <v>27</v>
      </c>
      <c r="V90" s="34">
        <f t="shared" si="9"/>
        <v>0.3</v>
      </c>
      <c r="W90" s="35" t="s">
        <v>27</v>
      </c>
      <c r="X90" s="34">
        <f t="shared" si="10"/>
        <v>0.3</v>
      </c>
      <c r="Y90" s="36">
        <f t="shared" si="11"/>
        <v>7686900</v>
      </c>
      <c r="Z90" s="37" t="s">
        <v>516</v>
      </c>
    </row>
    <row r="91" spans="1:26" ht="28.5" x14ac:dyDescent="0.25">
      <c r="A91" s="1" t="s">
        <v>22</v>
      </c>
      <c r="B91" s="15" t="s">
        <v>23</v>
      </c>
      <c r="C91" s="28" t="s">
        <v>118</v>
      </c>
      <c r="D91" s="29">
        <f>MAX($D$8:D90)+1</f>
        <v>79</v>
      </c>
      <c r="E91" s="64" t="s">
        <v>122</v>
      </c>
      <c r="F91" s="31">
        <v>5611148841</v>
      </c>
      <c r="G91" s="32">
        <v>3.65</v>
      </c>
      <c r="H91" s="32"/>
      <c r="I91" s="32"/>
      <c r="J91" s="34">
        <f t="shared" si="6"/>
        <v>3.65</v>
      </c>
      <c r="K91" s="32">
        <v>3.65</v>
      </c>
      <c r="L91" s="32"/>
      <c r="M91" s="32"/>
      <c r="N91" s="34">
        <f t="shared" si="6"/>
        <v>3.65</v>
      </c>
      <c r="O91" s="32">
        <v>3.65</v>
      </c>
      <c r="P91" s="32"/>
      <c r="Q91" s="32"/>
      <c r="R91" s="34">
        <f t="shared" si="7"/>
        <v>3.65</v>
      </c>
      <c r="S91" s="35" t="s">
        <v>27</v>
      </c>
      <c r="T91" s="34">
        <f t="shared" si="8"/>
        <v>0.3</v>
      </c>
      <c r="U91" s="35" t="s">
        <v>27</v>
      </c>
      <c r="V91" s="34">
        <f t="shared" si="9"/>
        <v>0.3</v>
      </c>
      <c r="W91" s="35" t="s">
        <v>27</v>
      </c>
      <c r="X91" s="34">
        <f t="shared" si="10"/>
        <v>0.3</v>
      </c>
      <c r="Y91" s="36">
        <f t="shared" si="11"/>
        <v>7686900</v>
      </c>
      <c r="Z91" s="37" t="s">
        <v>517</v>
      </c>
    </row>
    <row r="92" spans="1:26" ht="28.5" x14ac:dyDescent="0.25">
      <c r="A92" s="1" t="s">
        <v>22</v>
      </c>
      <c r="B92" s="15" t="s">
        <v>23</v>
      </c>
      <c r="C92" s="28" t="s">
        <v>118</v>
      </c>
      <c r="D92" s="29">
        <f>MAX($D$8:D91)+1</f>
        <v>80</v>
      </c>
      <c r="E92" s="64" t="s">
        <v>123</v>
      </c>
      <c r="F92" s="31">
        <v>5611149093</v>
      </c>
      <c r="G92" s="32">
        <v>3.33</v>
      </c>
      <c r="H92" s="32"/>
      <c r="I92" s="32"/>
      <c r="J92" s="34">
        <f t="shared" si="6"/>
        <v>3.33</v>
      </c>
      <c r="K92" s="32">
        <v>3.33</v>
      </c>
      <c r="L92" s="32"/>
      <c r="M92" s="32"/>
      <c r="N92" s="34">
        <f t="shared" si="6"/>
        <v>3.33</v>
      </c>
      <c r="O92" s="32">
        <v>3.33</v>
      </c>
      <c r="P92" s="32"/>
      <c r="Q92" s="32"/>
      <c r="R92" s="34">
        <f t="shared" si="7"/>
        <v>3.33</v>
      </c>
      <c r="S92" s="35" t="s">
        <v>27</v>
      </c>
      <c r="T92" s="34">
        <f t="shared" si="8"/>
        <v>0.3</v>
      </c>
      <c r="U92" s="35" t="s">
        <v>27</v>
      </c>
      <c r="V92" s="34">
        <f t="shared" si="9"/>
        <v>0.3</v>
      </c>
      <c r="W92" s="35" t="s">
        <v>27</v>
      </c>
      <c r="X92" s="34">
        <f t="shared" si="10"/>
        <v>0.3</v>
      </c>
      <c r="Y92" s="36">
        <f t="shared" si="11"/>
        <v>7012980</v>
      </c>
      <c r="Z92" s="37" t="s">
        <v>518</v>
      </c>
    </row>
    <row r="93" spans="1:26" ht="28.5" x14ac:dyDescent="0.25">
      <c r="A93" s="1" t="s">
        <v>22</v>
      </c>
      <c r="B93" s="15" t="s">
        <v>23</v>
      </c>
      <c r="C93" s="28" t="s">
        <v>118</v>
      </c>
      <c r="D93" s="29">
        <f>MAX($D$8:D92)+1</f>
        <v>81</v>
      </c>
      <c r="E93" s="64" t="s">
        <v>124</v>
      </c>
      <c r="F93" s="31">
        <v>5611149002</v>
      </c>
      <c r="G93" s="32">
        <v>3.66</v>
      </c>
      <c r="H93" s="32"/>
      <c r="I93" s="32"/>
      <c r="J93" s="34">
        <f t="shared" si="6"/>
        <v>3.66</v>
      </c>
      <c r="K93" s="32">
        <v>3.66</v>
      </c>
      <c r="L93" s="32"/>
      <c r="M93" s="32"/>
      <c r="N93" s="34">
        <f t="shared" si="6"/>
        <v>3.66</v>
      </c>
      <c r="O93" s="32">
        <v>3.66</v>
      </c>
      <c r="P93" s="32"/>
      <c r="Q93" s="32"/>
      <c r="R93" s="34">
        <f t="shared" si="7"/>
        <v>3.66</v>
      </c>
      <c r="S93" s="35" t="s">
        <v>27</v>
      </c>
      <c r="T93" s="34">
        <f t="shared" si="8"/>
        <v>0.3</v>
      </c>
      <c r="U93" s="35" t="s">
        <v>27</v>
      </c>
      <c r="V93" s="34">
        <f t="shared" si="9"/>
        <v>0.3</v>
      </c>
      <c r="W93" s="35" t="s">
        <v>27</v>
      </c>
      <c r="X93" s="34">
        <f t="shared" si="10"/>
        <v>0.3</v>
      </c>
      <c r="Y93" s="36">
        <f t="shared" si="11"/>
        <v>7707960.0000000009</v>
      </c>
      <c r="Z93" s="37" t="s">
        <v>519</v>
      </c>
    </row>
    <row r="94" spans="1:26" ht="28.5" x14ac:dyDescent="0.25">
      <c r="A94" s="1" t="s">
        <v>22</v>
      </c>
      <c r="B94" s="15" t="s">
        <v>23</v>
      </c>
      <c r="C94" s="28" t="s">
        <v>118</v>
      </c>
      <c r="D94" s="29">
        <f>MAX($D$8:D93)+1</f>
        <v>82</v>
      </c>
      <c r="E94" s="64" t="s">
        <v>125</v>
      </c>
      <c r="F94" s="31">
        <v>5611149880</v>
      </c>
      <c r="G94" s="32">
        <v>3.96</v>
      </c>
      <c r="H94" s="32"/>
      <c r="I94" s="32"/>
      <c r="J94" s="34">
        <f t="shared" si="6"/>
        <v>3.96</v>
      </c>
      <c r="K94" s="32">
        <v>3.96</v>
      </c>
      <c r="L94" s="32"/>
      <c r="M94" s="32"/>
      <c r="N94" s="34">
        <f t="shared" si="6"/>
        <v>3.96</v>
      </c>
      <c r="O94" s="32">
        <v>3.96</v>
      </c>
      <c r="P94" s="32"/>
      <c r="Q94" s="32"/>
      <c r="R94" s="34">
        <f t="shared" si="7"/>
        <v>3.96</v>
      </c>
      <c r="S94" s="35" t="s">
        <v>27</v>
      </c>
      <c r="T94" s="34">
        <f t="shared" si="8"/>
        <v>0.3</v>
      </c>
      <c r="U94" s="35" t="s">
        <v>27</v>
      </c>
      <c r="V94" s="34">
        <f t="shared" si="9"/>
        <v>0.3</v>
      </c>
      <c r="W94" s="35" t="s">
        <v>27</v>
      </c>
      <c r="X94" s="34">
        <f t="shared" si="10"/>
        <v>0.3</v>
      </c>
      <c r="Y94" s="36">
        <f t="shared" si="11"/>
        <v>8339760</v>
      </c>
      <c r="Z94" s="37" t="s">
        <v>520</v>
      </c>
    </row>
    <row r="95" spans="1:26" ht="28.5" x14ac:dyDescent="0.25">
      <c r="A95" s="1" t="s">
        <v>22</v>
      </c>
      <c r="B95" s="15" t="s">
        <v>23</v>
      </c>
      <c r="C95" s="28" t="s">
        <v>118</v>
      </c>
      <c r="D95" s="29">
        <f>MAX($D$8:D94)+1</f>
        <v>83</v>
      </c>
      <c r="E95" s="64" t="s">
        <v>126</v>
      </c>
      <c r="F95" s="31">
        <v>5610226692</v>
      </c>
      <c r="G95" s="32">
        <v>3.96</v>
      </c>
      <c r="H95" s="32"/>
      <c r="I95" s="32"/>
      <c r="J95" s="34">
        <f t="shared" si="6"/>
        <v>3.96</v>
      </c>
      <c r="K95" s="32">
        <v>3.96</v>
      </c>
      <c r="L95" s="32"/>
      <c r="M95" s="32"/>
      <c r="N95" s="34">
        <f t="shared" si="6"/>
        <v>3.96</v>
      </c>
      <c r="O95" s="32">
        <v>3.96</v>
      </c>
      <c r="P95" s="32"/>
      <c r="Q95" s="32"/>
      <c r="R95" s="34">
        <f t="shared" si="7"/>
        <v>3.96</v>
      </c>
      <c r="S95" s="35" t="s">
        <v>27</v>
      </c>
      <c r="T95" s="34">
        <f t="shared" si="8"/>
        <v>0.3</v>
      </c>
      <c r="U95" s="35" t="s">
        <v>27</v>
      </c>
      <c r="V95" s="34">
        <f t="shared" si="9"/>
        <v>0.3</v>
      </c>
      <c r="W95" s="35" t="s">
        <v>27</v>
      </c>
      <c r="X95" s="34">
        <f t="shared" si="10"/>
        <v>0.3</v>
      </c>
      <c r="Y95" s="36">
        <f t="shared" si="11"/>
        <v>8339760</v>
      </c>
      <c r="Z95" s="37" t="s">
        <v>521</v>
      </c>
    </row>
    <row r="96" spans="1:26" ht="28.5" x14ac:dyDescent="0.25">
      <c r="A96" s="1" t="s">
        <v>22</v>
      </c>
      <c r="B96" s="15" t="s">
        <v>23</v>
      </c>
      <c r="C96" s="28" t="s">
        <v>118</v>
      </c>
      <c r="D96" s="29">
        <f>MAX($D$8:D95)+1</f>
        <v>84</v>
      </c>
      <c r="E96" s="64" t="s">
        <v>127</v>
      </c>
      <c r="F96" s="31">
        <v>5610225167</v>
      </c>
      <c r="G96" s="32">
        <v>3.96</v>
      </c>
      <c r="H96" s="32"/>
      <c r="I96" s="32"/>
      <c r="J96" s="34">
        <f t="shared" si="6"/>
        <v>3.96</v>
      </c>
      <c r="K96" s="32">
        <v>3.96</v>
      </c>
      <c r="L96" s="32"/>
      <c r="M96" s="32"/>
      <c r="N96" s="34">
        <f t="shared" si="6"/>
        <v>3.96</v>
      </c>
      <c r="O96" s="32">
        <v>3.96</v>
      </c>
      <c r="P96" s="32"/>
      <c r="Q96" s="32"/>
      <c r="R96" s="34">
        <f t="shared" si="7"/>
        <v>3.96</v>
      </c>
      <c r="S96" s="35" t="s">
        <v>27</v>
      </c>
      <c r="T96" s="34">
        <f t="shared" si="8"/>
        <v>0.3</v>
      </c>
      <c r="U96" s="35" t="s">
        <v>27</v>
      </c>
      <c r="V96" s="34">
        <f t="shared" si="9"/>
        <v>0.3</v>
      </c>
      <c r="W96" s="35" t="s">
        <v>27</v>
      </c>
      <c r="X96" s="34">
        <f t="shared" si="10"/>
        <v>0.3</v>
      </c>
      <c r="Y96" s="36">
        <f t="shared" si="11"/>
        <v>8339760</v>
      </c>
      <c r="Z96" s="37" t="s">
        <v>522</v>
      </c>
    </row>
    <row r="97" spans="1:26" ht="28.5" x14ac:dyDescent="0.25">
      <c r="A97" s="1" t="s">
        <v>22</v>
      </c>
      <c r="B97" s="15" t="s">
        <v>23</v>
      </c>
      <c r="C97" s="28" t="s">
        <v>118</v>
      </c>
      <c r="D97" s="29">
        <f>MAX($D$8:D96)+1</f>
        <v>85</v>
      </c>
      <c r="E97" s="64" t="s">
        <v>128</v>
      </c>
      <c r="F97" s="31">
        <v>5610056312</v>
      </c>
      <c r="G97" s="32">
        <v>3.66</v>
      </c>
      <c r="H97" s="32"/>
      <c r="I97" s="32"/>
      <c r="J97" s="34">
        <f t="shared" si="6"/>
        <v>3.66</v>
      </c>
      <c r="K97" s="32">
        <v>3.66</v>
      </c>
      <c r="L97" s="32"/>
      <c r="M97" s="32"/>
      <c r="N97" s="34">
        <f t="shared" si="6"/>
        <v>3.66</v>
      </c>
      <c r="O97" s="32">
        <v>3.66</v>
      </c>
      <c r="P97" s="32"/>
      <c r="Q97" s="32"/>
      <c r="R97" s="34">
        <f t="shared" si="7"/>
        <v>3.66</v>
      </c>
      <c r="S97" s="35" t="s">
        <v>27</v>
      </c>
      <c r="T97" s="34">
        <f t="shared" si="8"/>
        <v>0.3</v>
      </c>
      <c r="U97" s="35" t="s">
        <v>27</v>
      </c>
      <c r="V97" s="34">
        <f t="shared" si="9"/>
        <v>0.3</v>
      </c>
      <c r="W97" s="35" t="s">
        <v>27</v>
      </c>
      <c r="X97" s="34">
        <f t="shared" si="10"/>
        <v>0.3</v>
      </c>
      <c r="Y97" s="36">
        <f t="shared" si="11"/>
        <v>7707960.0000000009</v>
      </c>
      <c r="Z97" s="37" t="s">
        <v>523</v>
      </c>
    </row>
    <row r="98" spans="1:26" ht="28.5" x14ac:dyDescent="0.25">
      <c r="A98" s="1" t="s">
        <v>22</v>
      </c>
      <c r="B98" s="15" t="s">
        <v>23</v>
      </c>
      <c r="C98" s="28" t="s">
        <v>118</v>
      </c>
      <c r="D98" s="29">
        <f>MAX($D$8:D97)+1</f>
        <v>86</v>
      </c>
      <c r="E98" s="62" t="s">
        <v>129</v>
      </c>
      <c r="F98" s="47">
        <v>8873369409</v>
      </c>
      <c r="G98" s="52">
        <v>4.32</v>
      </c>
      <c r="H98" s="52"/>
      <c r="I98" s="52">
        <v>0.6</v>
      </c>
      <c r="J98" s="34">
        <f t="shared" si="6"/>
        <v>4.92</v>
      </c>
      <c r="K98" s="52">
        <v>4.32</v>
      </c>
      <c r="L98" s="52"/>
      <c r="M98" s="52">
        <v>0.6</v>
      </c>
      <c r="N98" s="34">
        <f t="shared" si="6"/>
        <v>4.92</v>
      </c>
      <c r="O98" s="52">
        <v>4.32</v>
      </c>
      <c r="P98" s="52"/>
      <c r="Q98" s="52">
        <v>0.6</v>
      </c>
      <c r="R98" s="34">
        <f t="shared" si="7"/>
        <v>4.92</v>
      </c>
      <c r="S98" s="35" t="s">
        <v>27</v>
      </c>
      <c r="T98" s="34">
        <f t="shared" si="8"/>
        <v>0.3</v>
      </c>
      <c r="U98" s="35" t="s">
        <v>27</v>
      </c>
      <c r="V98" s="34">
        <f t="shared" si="9"/>
        <v>0.3</v>
      </c>
      <c r="W98" s="35" t="s">
        <v>27</v>
      </c>
      <c r="X98" s="34">
        <f t="shared" si="10"/>
        <v>0.3</v>
      </c>
      <c r="Y98" s="36">
        <f t="shared" si="11"/>
        <v>10361520</v>
      </c>
      <c r="Z98" s="37" t="s">
        <v>524</v>
      </c>
    </row>
    <row r="99" spans="1:26" ht="28.5" x14ac:dyDescent="0.25">
      <c r="A99" s="1" t="s">
        <v>22</v>
      </c>
      <c r="B99" s="15" t="s">
        <v>23</v>
      </c>
      <c r="C99" s="28" t="s">
        <v>118</v>
      </c>
      <c r="D99" s="29">
        <f>MAX($D$8:D98)+1</f>
        <v>87</v>
      </c>
      <c r="E99" s="70" t="s">
        <v>130</v>
      </c>
      <c r="F99" s="47">
        <v>5620600123</v>
      </c>
      <c r="G99" s="52">
        <v>3.99</v>
      </c>
      <c r="H99" s="52"/>
      <c r="I99" s="52"/>
      <c r="J99" s="34">
        <f t="shared" si="6"/>
        <v>3.99</v>
      </c>
      <c r="K99" s="52">
        <v>3.99</v>
      </c>
      <c r="L99" s="52"/>
      <c r="M99" s="52"/>
      <c r="N99" s="34">
        <f t="shared" si="6"/>
        <v>3.99</v>
      </c>
      <c r="O99" s="51">
        <v>4.32</v>
      </c>
      <c r="P99" s="51"/>
      <c r="Q99" s="51"/>
      <c r="R99" s="34">
        <f t="shared" si="7"/>
        <v>4.32</v>
      </c>
      <c r="S99" s="35" t="s">
        <v>27</v>
      </c>
      <c r="T99" s="34">
        <f t="shared" si="8"/>
        <v>0.3</v>
      </c>
      <c r="U99" s="35" t="s">
        <v>27</v>
      </c>
      <c r="V99" s="34">
        <f t="shared" si="9"/>
        <v>0.3</v>
      </c>
      <c r="W99" s="35" t="s">
        <v>27</v>
      </c>
      <c r="X99" s="34">
        <f t="shared" si="10"/>
        <v>0.3</v>
      </c>
      <c r="Y99" s="36">
        <f t="shared" si="11"/>
        <v>8634600</v>
      </c>
      <c r="Z99" s="37" t="s">
        <v>525</v>
      </c>
    </row>
    <row r="100" spans="1:26" ht="28.5" x14ac:dyDescent="0.25">
      <c r="A100" s="1" t="s">
        <v>22</v>
      </c>
      <c r="B100" s="15" t="s">
        <v>23</v>
      </c>
      <c r="C100" s="28" t="s">
        <v>118</v>
      </c>
      <c r="D100" s="29">
        <f>MAX($D$8:D99)+1</f>
        <v>88</v>
      </c>
      <c r="E100" s="80" t="s">
        <v>131</v>
      </c>
      <c r="F100" s="47">
        <v>5623447851</v>
      </c>
      <c r="G100" s="52">
        <v>3.65</v>
      </c>
      <c r="H100" s="52"/>
      <c r="I100" s="52"/>
      <c r="J100" s="34">
        <f t="shared" si="6"/>
        <v>3.65</v>
      </c>
      <c r="K100" s="52">
        <v>3.65</v>
      </c>
      <c r="L100" s="52"/>
      <c r="M100" s="52"/>
      <c r="N100" s="34">
        <f t="shared" si="6"/>
        <v>3.65</v>
      </c>
      <c r="O100" s="52">
        <v>3.65</v>
      </c>
      <c r="P100" s="52"/>
      <c r="Q100" s="52"/>
      <c r="R100" s="34">
        <f t="shared" si="7"/>
        <v>3.65</v>
      </c>
      <c r="S100" s="35" t="s">
        <v>27</v>
      </c>
      <c r="T100" s="34">
        <f t="shared" si="8"/>
        <v>0.3</v>
      </c>
      <c r="U100" s="35" t="s">
        <v>27</v>
      </c>
      <c r="V100" s="34">
        <f t="shared" si="9"/>
        <v>0.3</v>
      </c>
      <c r="W100" s="35" t="s">
        <v>27</v>
      </c>
      <c r="X100" s="34">
        <f t="shared" si="10"/>
        <v>0.3</v>
      </c>
      <c r="Y100" s="36">
        <f t="shared" si="11"/>
        <v>7686900</v>
      </c>
      <c r="Z100" s="37" t="s">
        <v>526</v>
      </c>
    </row>
    <row r="101" spans="1:26" ht="28.5" x14ac:dyDescent="0.25">
      <c r="A101" s="1" t="s">
        <v>22</v>
      </c>
      <c r="B101" s="15" t="s">
        <v>23</v>
      </c>
      <c r="C101" s="28" t="s">
        <v>118</v>
      </c>
      <c r="D101" s="29">
        <f>MAX($D$8:D100)+1</f>
        <v>89</v>
      </c>
      <c r="E101" s="66" t="s">
        <v>132</v>
      </c>
      <c r="F101" s="47">
        <v>8883373273</v>
      </c>
      <c r="G101" s="91">
        <v>4.2699999999999996</v>
      </c>
      <c r="H101" s="91"/>
      <c r="I101" s="91"/>
      <c r="J101" s="34">
        <f t="shared" si="6"/>
        <v>4.2699999999999996</v>
      </c>
      <c r="K101" s="92">
        <v>4.2699999999999996</v>
      </c>
      <c r="L101" s="92"/>
      <c r="M101" s="92"/>
      <c r="N101" s="34">
        <f t="shared" si="6"/>
        <v>4.2699999999999996</v>
      </c>
      <c r="O101" s="92">
        <v>4.2699999999999996</v>
      </c>
      <c r="P101" s="92"/>
      <c r="Q101" s="92"/>
      <c r="R101" s="34">
        <f t="shared" si="7"/>
        <v>4.2699999999999996</v>
      </c>
      <c r="S101" s="35" t="s">
        <v>27</v>
      </c>
      <c r="T101" s="34">
        <f t="shared" si="8"/>
        <v>0.3</v>
      </c>
      <c r="U101" s="35" t="s">
        <v>27</v>
      </c>
      <c r="V101" s="34">
        <f t="shared" si="9"/>
        <v>0.3</v>
      </c>
      <c r="W101" s="35" t="s">
        <v>27</v>
      </c>
      <c r="X101" s="34">
        <f t="shared" si="10"/>
        <v>0.3</v>
      </c>
      <c r="Y101" s="36">
        <f t="shared" si="11"/>
        <v>8992620</v>
      </c>
      <c r="Z101" s="37" t="s">
        <v>527</v>
      </c>
    </row>
    <row r="102" spans="1:26" ht="28.5" x14ac:dyDescent="0.25">
      <c r="A102" s="1" t="s">
        <v>22</v>
      </c>
      <c r="B102" s="15" t="s">
        <v>23</v>
      </c>
      <c r="C102" s="28" t="s">
        <v>118</v>
      </c>
      <c r="D102" s="29">
        <f>MAX($D$8:D101)+1</f>
        <v>90</v>
      </c>
      <c r="E102" s="83" t="s">
        <v>133</v>
      </c>
      <c r="F102" s="47">
        <v>5623455128</v>
      </c>
      <c r="G102" s="92">
        <v>3.33</v>
      </c>
      <c r="H102" s="92"/>
      <c r="I102" s="92"/>
      <c r="J102" s="34">
        <f t="shared" si="6"/>
        <v>3.33</v>
      </c>
      <c r="K102" s="92">
        <v>3.33</v>
      </c>
      <c r="L102" s="92"/>
      <c r="M102" s="92"/>
      <c r="N102" s="34">
        <f t="shared" si="6"/>
        <v>3.33</v>
      </c>
      <c r="O102" s="92">
        <v>3.33</v>
      </c>
      <c r="P102" s="92"/>
      <c r="Q102" s="92"/>
      <c r="R102" s="34">
        <f t="shared" si="7"/>
        <v>3.33</v>
      </c>
      <c r="S102" s="35" t="s">
        <v>27</v>
      </c>
      <c r="T102" s="34">
        <f t="shared" si="8"/>
        <v>0.3</v>
      </c>
      <c r="U102" s="35" t="s">
        <v>27</v>
      </c>
      <c r="V102" s="34">
        <f t="shared" si="9"/>
        <v>0.3</v>
      </c>
      <c r="W102" s="35" t="s">
        <v>27</v>
      </c>
      <c r="X102" s="34">
        <f t="shared" si="10"/>
        <v>0.3</v>
      </c>
      <c r="Y102" s="36">
        <f t="shared" si="11"/>
        <v>7012980</v>
      </c>
      <c r="Z102" s="37" t="s">
        <v>528</v>
      </c>
    </row>
    <row r="103" spans="1:26" ht="28.5" x14ac:dyDescent="0.25">
      <c r="A103" s="1" t="s">
        <v>22</v>
      </c>
      <c r="B103" s="15" t="s">
        <v>23</v>
      </c>
      <c r="C103" s="28" t="s">
        <v>118</v>
      </c>
      <c r="D103" s="29">
        <f>MAX($D$8:D102)+1</f>
        <v>91</v>
      </c>
      <c r="E103" s="70" t="s">
        <v>134</v>
      </c>
      <c r="F103" s="47">
        <v>8853375729</v>
      </c>
      <c r="G103" s="93">
        <v>4.2699999999999996</v>
      </c>
      <c r="H103" s="93"/>
      <c r="I103" s="93"/>
      <c r="J103" s="34">
        <f t="shared" si="6"/>
        <v>4.2699999999999996</v>
      </c>
      <c r="K103" s="93">
        <v>4.2699999999999996</v>
      </c>
      <c r="L103" s="93"/>
      <c r="M103" s="93"/>
      <c r="N103" s="34">
        <f t="shared" si="6"/>
        <v>4.2699999999999996</v>
      </c>
      <c r="O103" s="93">
        <v>4.2699999999999996</v>
      </c>
      <c r="P103" s="93"/>
      <c r="Q103" s="93"/>
      <c r="R103" s="34">
        <f t="shared" si="7"/>
        <v>4.2699999999999996</v>
      </c>
      <c r="S103" s="35" t="s">
        <v>27</v>
      </c>
      <c r="T103" s="34">
        <f t="shared" si="8"/>
        <v>0.3</v>
      </c>
      <c r="U103" s="35" t="s">
        <v>27</v>
      </c>
      <c r="V103" s="34">
        <f t="shared" si="9"/>
        <v>0.3</v>
      </c>
      <c r="W103" s="35" t="s">
        <v>27</v>
      </c>
      <c r="X103" s="34">
        <f t="shared" si="10"/>
        <v>0.3</v>
      </c>
      <c r="Y103" s="36">
        <f t="shared" si="11"/>
        <v>8992620</v>
      </c>
      <c r="Z103" s="37" t="s">
        <v>529</v>
      </c>
    </row>
    <row r="104" spans="1:26" ht="28.5" x14ac:dyDescent="0.25">
      <c r="A104" s="1" t="s">
        <v>22</v>
      </c>
      <c r="B104" s="15" t="s">
        <v>23</v>
      </c>
      <c r="C104" s="28" t="s">
        <v>118</v>
      </c>
      <c r="D104" s="29">
        <f>MAX($D$8:D103)+1</f>
        <v>92</v>
      </c>
      <c r="E104" s="62" t="s">
        <v>135</v>
      </c>
      <c r="F104" s="47">
        <v>5623588653</v>
      </c>
      <c r="G104" s="52">
        <v>3.66</v>
      </c>
      <c r="H104" s="52"/>
      <c r="I104" s="52"/>
      <c r="J104" s="34">
        <f t="shared" si="6"/>
        <v>3.66</v>
      </c>
      <c r="K104" s="52">
        <v>3.66</v>
      </c>
      <c r="L104" s="52"/>
      <c r="M104" s="52"/>
      <c r="N104" s="34">
        <f t="shared" si="6"/>
        <v>3.66</v>
      </c>
      <c r="O104" s="52">
        <v>3.66</v>
      </c>
      <c r="P104" s="52"/>
      <c r="Q104" s="52"/>
      <c r="R104" s="34">
        <f t="shared" si="7"/>
        <v>3.66</v>
      </c>
      <c r="S104" s="35" t="s">
        <v>27</v>
      </c>
      <c r="T104" s="34">
        <f t="shared" si="8"/>
        <v>0.3</v>
      </c>
      <c r="U104" s="35" t="s">
        <v>27</v>
      </c>
      <c r="V104" s="34">
        <f t="shared" si="9"/>
        <v>0.3</v>
      </c>
      <c r="W104" s="35" t="s">
        <v>27</v>
      </c>
      <c r="X104" s="34">
        <f t="shared" si="10"/>
        <v>0.3</v>
      </c>
      <c r="Y104" s="36">
        <f t="shared" si="11"/>
        <v>7707960.0000000009</v>
      </c>
      <c r="Z104" s="37" t="s">
        <v>530</v>
      </c>
    </row>
    <row r="105" spans="1:26" ht="28.5" x14ac:dyDescent="0.25">
      <c r="A105" s="1" t="s">
        <v>22</v>
      </c>
      <c r="B105" s="15" t="s">
        <v>23</v>
      </c>
      <c r="C105" s="28" t="s">
        <v>118</v>
      </c>
      <c r="D105" s="29">
        <f>MAX($D$8:D104)+1</f>
        <v>93</v>
      </c>
      <c r="E105" s="76" t="s">
        <v>136</v>
      </c>
      <c r="F105" s="47">
        <v>5623448058</v>
      </c>
      <c r="G105" s="52">
        <v>2.72</v>
      </c>
      <c r="H105" s="52"/>
      <c r="I105" s="52"/>
      <c r="J105" s="34">
        <f t="shared" si="6"/>
        <v>2.72</v>
      </c>
      <c r="K105" s="51">
        <v>3.03</v>
      </c>
      <c r="L105" s="51"/>
      <c r="M105" s="51"/>
      <c r="N105" s="34">
        <f t="shared" si="6"/>
        <v>3.03</v>
      </c>
      <c r="O105" s="52">
        <v>3.03</v>
      </c>
      <c r="P105" s="52"/>
      <c r="Q105" s="52"/>
      <c r="R105" s="34">
        <f t="shared" si="7"/>
        <v>3.03</v>
      </c>
      <c r="S105" s="35" t="s">
        <v>27</v>
      </c>
      <c r="T105" s="34">
        <f t="shared" si="8"/>
        <v>0.3</v>
      </c>
      <c r="U105" s="35" t="s">
        <v>27</v>
      </c>
      <c r="V105" s="34">
        <f t="shared" si="9"/>
        <v>0.3</v>
      </c>
      <c r="W105" s="35" t="s">
        <v>27</v>
      </c>
      <c r="X105" s="34">
        <f t="shared" si="10"/>
        <v>0.3</v>
      </c>
      <c r="Y105" s="36">
        <f t="shared" si="11"/>
        <v>6163560</v>
      </c>
      <c r="Z105" s="37" t="s">
        <v>531</v>
      </c>
    </row>
    <row r="106" spans="1:26" ht="28.5" x14ac:dyDescent="0.25">
      <c r="A106" s="1" t="s">
        <v>22</v>
      </c>
      <c r="B106" s="15" t="s">
        <v>23</v>
      </c>
      <c r="C106" s="28" t="s">
        <v>118</v>
      </c>
      <c r="D106" s="29">
        <f>MAX($D$8:D105)+1</f>
        <v>94</v>
      </c>
      <c r="E106" s="76" t="s">
        <v>137</v>
      </c>
      <c r="F106" s="47">
        <v>5623448003</v>
      </c>
      <c r="G106" s="52">
        <v>4.2699999999999996</v>
      </c>
      <c r="H106" s="52"/>
      <c r="I106" s="52"/>
      <c r="J106" s="34">
        <f t="shared" si="6"/>
        <v>4.2699999999999996</v>
      </c>
      <c r="K106" s="52">
        <v>4.2699999999999996</v>
      </c>
      <c r="L106" s="52"/>
      <c r="M106" s="52"/>
      <c r="N106" s="34">
        <f t="shared" si="6"/>
        <v>4.2699999999999996</v>
      </c>
      <c r="O106" s="52">
        <v>4.2699999999999996</v>
      </c>
      <c r="P106" s="52"/>
      <c r="Q106" s="52"/>
      <c r="R106" s="34">
        <f t="shared" si="7"/>
        <v>4.2699999999999996</v>
      </c>
      <c r="S106" s="35" t="s">
        <v>27</v>
      </c>
      <c r="T106" s="34">
        <f t="shared" si="8"/>
        <v>0.3</v>
      </c>
      <c r="U106" s="35" t="s">
        <v>27</v>
      </c>
      <c r="V106" s="34">
        <f t="shared" si="9"/>
        <v>0.3</v>
      </c>
      <c r="W106" s="35" t="s">
        <v>27</v>
      </c>
      <c r="X106" s="34">
        <f t="shared" si="10"/>
        <v>0.3</v>
      </c>
      <c r="Y106" s="36">
        <f t="shared" si="11"/>
        <v>8992620</v>
      </c>
      <c r="Z106" s="37" t="s">
        <v>532</v>
      </c>
    </row>
    <row r="107" spans="1:26" ht="28.5" x14ac:dyDescent="0.25">
      <c r="A107" s="1" t="s">
        <v>22</v>
      </c>
      <c r="B107" s="15" t="s">
        <v>23</v>
      </c>
      <c r="C107" s="28" t="s">
        <v>118</v>
      </c>
      <c r="D107" s="29">
        <f>MAX($D$8:D106)+1</f>
        <v>95</v>
      </c>
      <c r="E107" s="83" t="s">
        <v>138</v>
      </c>
      <c r="F107" s="47">
        <v>8843380024</v>
      </c>
      <c r="G107" s="67">
        <v>2.67</v>
      </c>
      <c r="H107" s="67"/>
      <c r="I107" s="67"/>
      <c r="J107" s="34">
        <f t="shared" si="6"/>
        <v>2.67</v>
      </c>
      <c r="K107" s="67">
        <v>2.67</v>
      </c>
      <c r="L107" s="67"/>
      <c r="M107" s="67"/>
      <c r="N107" s="34">
        <f t="shared" si="6"/>
        <v>2.67</v>
      </c>
      <c r="O107" s="67">
        <v>2.67</v>
      </c>
      <c r="P107" s="67"/>
      <c r="Q107" s="67"/>
      <c r="R107" s="34">
        <f t="shared" si="7"/>
        <v>2.67</v>
      </c>
      <c r="S107" s="35" t="s">
        <v>77</v>
      </c>
      <c r="T107" s="34">
        <f t="shared" si="8"/>
        <v>0</v>
      </c>
      <c r="U107" s="35" t="s">
        <v>38</v>
      </c>
      <c r="V107" s="34">
        <f t="shared" si="9"/>
        <v>0.1</v>
      </c>
      <c r="W107" s="35" t="s">
        <v>27</v>
      </c>
      <c r="X107" s="34">
        <f t="shared" si="10"/>
        <v>0.3</v>
      </c>
      <c r="Y107" s="36">
        <f t="shared" si="11"/>
        <v>2499120</v>
      </c>
      <c r="Z107" s="37" t="s">
        <v>533</v>
      </c>
    </row>
    <row r="108" spans="1:26" ht="28.5" x14ac:dyDescent="0.25">
      <c r="A108" s="1" t="s">
        <v>22</v>
      </c>
      <c r="B108" s="15" t="s">
        <v>23</v>
      </c>
      <c r="C108" s="28" t="s">
        <v>118</v>
      </c>
      <c r="D108" s="29">
        <f>MAX($D$8:D107)+1</f>
        <v>96</v>
      </c>
      <c r="E108" s="62" t="s">
        <v>139</v>
      </c>
      <c r="F108" s="47">
        <v>8800561111</v>
      </c>
      <c r="G108" s="52">
        <v>3.33</v>
      </c>
      <c r="H108" s="52"/>
      <c r="I108" s="52"/>
      <c r="J108" s="34">
        <f t="shared" si="6"/>
        <v>3.33</v>
      </c>
      <c r="K108" s="52">
        <v>3.33</v>
      </c>
      <c r="L108" s="52"/>
      <c r="M108" s="52"/>
      <c r="N108" s="34">
        <f t="shared" si="6"/>
        <v>3.33</v>
      </c>
      <c r="O108" s="52">
        <v>3.33</v>
      </c>
      <c r="P108" s="52"/>
      <c r="Q108" s="52"/>
      <c r="R108" s="34">
        <f t="shared" si="7"/>
        <v>3.33</v>
      </c>
      <c r="S108" s="35" t="s">
        <v>27</v>
      </c>
      <c r="T108" s="34">
        <f t="shared" si="8"/>
        <v>0.3</v>
      </c>
      <c r="U108" s="35" t="s">
        <v>27</v>
      </c>
      <c r="V108" s="34">
        <f t="shared" si="9"/>
        <v>0.3</v>
      </c>
      <c r="W108" s="35" t="s">
        <v>27</v>
      </c>
      <c r="X108" s="34">
        <f t="shared" si="10"/>
        <v>0.3</v>
      </c>
      <c r="Y108" s="36">
        <f t="shared" si="11"/>
        <v>7012980</v>
      </c>
      <c r="Z108" s="37" t="s">
        <v>534</v>
      </c>
    </row>
    <row r="109" spans="1:26" ht="28.5" x14ac:dyDescent="0.25">
      <c r="A109" s="1" t="s">
        <v>22</v>
      </c>
      <c r="B109" s="15" t="s">
        <v>23</v>
      </c>
      <c r="C109" s="28" t="s">
        <v>118</v>
      </c>
      <c r="D109" s="29">
        <f>MAX($D$8:D108)+1</f>
        <v>97</v>
      </c>
      <c r="E109" s="87" t="s">
        <v>140</v>
      </c>
      <c r="F109" s="59">
        <v>8837401271</v>
      </c>
      <c r="G109" s="56">
        <v>2.34</v>
      </c>
      <c r="H109" s="56"/>
      <c r="I109" s="56"/>
      <c r="J109" s="34">
        <f t="shared" si="6"/>
        <v>2.34</v>
      </c>
      <c r="K109" s="56">
        <v>2.34</v>
      </c>
      <c r="L109" s="56"/>
      <c r="M109" s="56"/>
      <c r="N109" s="34">
        <f t="shared" si="6"/>
        <v>2.34</v>
      </c>
      <c r="O109" s="56">
        <v>2.34</v>
      </c>
      <c r="P109" s="56"/>
      <c r="Q109" s="56"/>
      <c r="R109" s="34">
        <f t="shared" si="7"/>
        <v>2.34</v>
      </c>
      <c r="S109" s="35" t="s">
        <v>27</v>
      </c>
      <c r="T109" s="34">
        <f t="shared" si="8"/>
        <v>0.3</v>
      </c>
      <c r="U109" s="35" t="s">
        <v>27</v>
      </c>
      <c r="V109" s="34">
        <f t="shared" si="9"/>
        <v>0.3</v>
      </c>
      <c r="W109" s="35" t="s">
        <v>27</v>
      </c>
      <c r="X109" s="34">
        <f t="shared" si="10"/>
        <v>0.3</v>
      </c>
      <c r="Y109" s="36">
        <f t="shared" si="11"/>
        <v>4928040</v>
      </c>
      <c r="Z109" s="37" t="s">
        <v>535</v>
      </c>
    </row>
    <row r="110" spans="1:26" ht="28.5" x14ac:dyDescent="0.25">
      <c r="A110" s="1" t="s">
        <v>22</v>
      </c>
      <c r="B110" s="15" t="s">
        <v>23</v>
      </c>
      <c r="C110" s="28" t="s">
        <v>118</v>
      </c>
      <c r="D110" s="29">
        <f>MAX($D$8:D109)+1</f>
        <v>98</v>
      </c>
      <c r="E110" s="64" t="s">
        <v>141</v>
      </c>
      <c r="F110" s="54">
        <v>5601640517</v>
      </c>
      <c r="G110" s="32">
        <v>2.67</v>
      </c>
      <c r="H110" s="32"/>
      <c r="I110" s="32"/>
      <c r="J110" s="34">
        <f t="shared" si="6"/>
        <v>2.67</v>
      </c>
      <c r="K110" s="61">
        <v>3</v>
      </c>
      <c r="L110" s="61"/>
      <c r="M110" s="61"/>
      <c r="N110" s="34">
        <f t="shared" si="6"/>
        <v>3</v>
      </c>
      <c r="O110" s="32">
        <v>3</v>
      </c>
      <c r="P110" s="32"/>
      <c r="Q110" s="32"/>
      <c r="R110" s="34">
        <f t="shared" si="7"/>
        <v>3</v>
      </c>
      <c r="S110" s="35" t="s">
        <v>27</v>
      </c>
      <c r="T110" s="34">
        <f t="shared" si="8"/>
        <v>0.3</v>
      </c>
      <c r="U110" s="35" t="s">
        <v>27</v>
      </c>
      <c r="V110" s="34">
        <f t="shared" si="9"/>
        <v>0.3</v>
      </c>
      <c r="W110" s="35" t="s">
        <v>27</v>
      </c>
      <c r="X110" s="34">
        <f t="shared" si="10"/>
        <v>0.3</v>
      </c>
      <c r="Y110" s="36">
        <f t="shared" si="11"/>
        <v>6086340</v>
      </c>
      <c r="Z110" s="37" t="s">
        <v>536</v>
      </c>
    </row>
    <row r="111" spans="1:26" ht="28.5" x14ac:dyDescent="0.25">
      <c r="A111" s="1" t="s">
        <v>22</v>
      </c>
      <c r="B111" s="15" t="s">
        <v>23</v>
      </c>
      <c r="C111" s="28" t="s">
        <v>118</v>
      </c>
      <c r="D111" s="29">
        <f>MAX($D$8:D110)+1</f>
        <v>99</v>
      </c>
      <c r="E111" s="64" t="s">
        <v>142</v>
      </c>
      <c r="F111" s="31">
        <v>5611149899</v>
      </c>
      <c r="G111" s="32">
        <v>3.66</v>
      </c>
      <c r="H111" s="32"/>
      <c r="I111" s="32"/>
      <c r="J111" s="34">
        <f t="shared" si="6"/>
        <v>3.66</v>
      </c>
      <c r="K111" s="32">
        <v>3.66</v>
      </c>
      <c r="L111" s="32"/>
      <c r="M111" s="32"/>
      <c r="N111" s="34">
        <f t="shared" si="6"/>
        <v>3.66</v>
      </c>
      <c r="O111" s="32">
        <v>3.66</v>
      </c>
      <c r="P111" s="32"/>
      <c r="Q111" s="32"/>
      <c r="R111" s="34">
        <f t="shared" si="7"/>
        <v>3.66</v>
      </c>
      <c r="S111" s="35" t="s">
        <v>27</v>
      </c>
      <c r="T111" s="34">
        <f t="shared" si="8"/>
        <v>0.3</v>
      </c>
      <c r="U111" s="35" t="s">
        <v>27</v>
      </c>
      <c r="V111" s="34">
        <f t="shared" si="9"/>
        <v>0.3</v>
      </c>
      <c r="W111" s="35" t="s">
        <v>27</v>
      </c>
      <c r="X111" s="34">
        <f t="shared" si="10"/>
        <v>0.3</v>
      </c>
      <c r="Y111" s="36">
        <f t="shared" si="11"/>
        <v>7707960.0000000009</v>
      </c>
      <c r="Z111" s="37" t="s">
        <v>537</v>
      </c>
    </row>
    <row r="112" spans="1:26" ht="28.5" x14ac:dyDescent="0.25">
      <c r="A112" s="1" t="s">
        <v>22</v>
      </c>
      <c r="B112" s="15" t="s">
        <v>23</v>
      </c>
      <c r="C112" s="28" t="s">
        <v>118</v>
      </c>
      <c r="D112" s="29">
        <f>MAX($D$8:D111)+1</f>
        <v>100</v>
      </c>
      <c r="E112" s="30" t="s">
        <v>143</v>
      </c>
      <c r="F112" s="31">
        <v>5610702970</v>
      </c>
      <c r="G112" s="32">
        <v>3.33</v>
      </c>
      <c r="H112" s="32"/>
      <c r="I112" s="32"/>
      <c r="J112" s="34">
        <f t="shared" si="6"/>
        <v>3.33</v>
      </c>
      <c r="K112" s="32">
        <v>3.33</v>
      </c>
      <c r="L112" s="32"/>
      <c r="M112" s="32"/>
      <c r="N112" s="34">
        <f t="shared" si="6"/>
        <v>3.33</v>
      </c>
      <c r="O112" s="32">
        <v>3.33</v>
      </c>
      <c r="P112" s="32"/>
      <c r="Q112" s="32"/>
      <c r="R112" s="34">
        <f t="shared" si="7"/>
        <v>3.33</v>
      </c>
      <c r="S112" s="35" t="s">
        <v>27</v>
      </c>
      <c r="T112" s="34">
        <f t="shared" si="8"/>
        <v>0.3</v>
      </c>
      <c r="U112" s="35" t="s">
        <v>27</v>
      </c>
      <c r="V112" s="34">
        <f t="shared" si="9"/>
        <v>0.3</v>
      </c>
      <c r="W112" s="35" t="s">
        <v>27</v>
      </c>
      <c r="X112" s="34">
        <f t="shared" si="10"/>
        <v>0.3</v>
      </c>
      <c r="Y112" s="36">
        <f t="shared" si="11"/>
        <v>7012980</v>
      </c>
      <c r="Z112" s="37" t="s">
        <v>538</v>
      </c>
    </row>
    <row r="113" spans="1:26" ht="28.5" x14ac:dyDescent="0.25">
      <c r="A113" s="1" t="s">
        <v>22</v>
      </c>
      <c r="B113" s="15" t="s">
        <v>23</v>
      </c>
      <c r="C113" s="28" t="s">
        <v>118</v>
      </c>
      <c r="D113" s="29">
        <f>MAX($D$8:D112)+1</f>
        <v>101</v>
      </c>
      <c r="E113" s="64" t="s">
        <v>144</v>
      </c>
      <c r="F113" s="31">
        <v>5610277511</v>
      </c>
      <c r="G113" s="32">
        <v>3.96</v>
      </c>
      <c r="H113" s="32"/>
      <c r="I113" s="32"/>
      <c r="J113" s="34">
        <f t="shared" si="6"/>
        <v>3.96</v>
      </c>
      <c r="K113" s="32">
        <v>3.96</v>
      </c>
      <c r="L113" s="32"/>
      <c r="M113" s="32"/>
      <c r="N113" s="34">
        <f t="shared" si="6"/>
        <v>3.96</v>
      </c>
      <c r="O113" s="32">
        <v>3.96</v>
      </c>
      <c r="P113" s="32"/>
      <c r="Q113" s="32"/>
      <c r="R113" s="34">
        <f t="shared" si="7"/>
        <v>3.96</v>
      </c>
      <c r="S113" s="35" t="s">
        <v>27</v>
      </c>
      <c r="T113" s="34">
        <f t="shared" si="8"/>
        <v>0.3</v>
      </c>
      <c r="U113" s="35" t="s">
        <v>27</v>
      </c>
      <c r="V113" s="34">
        <f t="shared" si="9"/>
        <v>0.3</v>
      </c>
      <c r="W113" s="35" t="s">
        <v>27</v>
      </c>
      <c r="X113" s="34">
        <f t="shared" si="10"/>
        <v>0.3</v>
      </c>
      <c r="Y113" s="36">
        <f t="shared" si="11"/>
        <v>8339760</v>
      </c>
      <c r="Z113" s="37" t="s">
        <v>539</v>
      </c>
    </row>
    <row r="114" spans="1:26" x14ac:dyDescent="0.25">
      <c r="B114" s="15"/>
      <c r="C114" s="28"/>
      <c r="D114" s="29" t="s">
        <v>20</v>
      </c>
      <c r="E114" s="44" t="s">
        <v>145</v>
      </c>
      <c r="F114" s="31"/>
      <c r="G114" s="32"/>
      <c r="H114" s="32"/>
      <c r="I114" s="32"/>
      <c r="J114" s="34"/>
      <c r="K114" s="32"/>
      <c r="L114" s="32"/>
      <c r="M114" s="32"/>
      <c r="N114" s="34"/>
      <c r="O114" s="32"/>
      <c r="P114" s="32"/>
      <c r="Q114" s="32"/>
      <c r="R114" s="34"/>
      <c r="S114" s="35"/>
      <c r="T114" s="34"/>
      <c r="U114" s="35"/>
      <c r="V114" s="34"/>
      <c r="W114" s="35"/>
      <c r="X114" s="34"/>
      <c r="Y114" s="36"/>
      <c r="Z114" s="37"/>
    </row>
    <row r="115" spans="1:26" ht="28.5" x14ac:dyDescent="0.25">
      <c r="A115" s="1" t="s">
        <v>22</v>
      </c>
      <c r="B115" s="15" t="s">
        <v>23</v>
      </c>
      <c r="C115" s="28" t="s">
        <v>146</v>
      </c>
      <c r="D115" s="29">
        <f>MAX($D$8:D114)+1</f>
        <v>102</v>
      </c>
      <c r="E115" s="30" t="s">
        <v>147</v>
      </c>
      <c r="F115" s="31">
        <v>5610226267</v>
      </c>
      <c r="G115" s="32">
        <v>4.9800000000000004</v>
      </c>
      <c r="H115" s="33">
        <f>G115*10%</f>
        <v>0.49800000000000005</v>
      </c>
      <c r="I115" s="34"/>
      <c r="J115" s="34">
        <f t="shared" si="6"/>
        <v>5.4780000000000006</v>
      </c>
      <c r="K115" s="32">
        <v>4.9800000000000004</v>
      </c>
      <c r="L115" s="33">
        <f>K115*10%</f>
        <v>0.49800000000000005</v>
      </c>
      <c r="M115" s="34"/>
      <c r="N115" s="34">
        <f t="shared" si="6"/>
        <v>5.4780000000000006</v>
      </c>
      <c r="O115" s="32">
        <v>4.9800000000000004</v>
      </c>
      <c r="P115" s="33">
        <f>O115*10%</f>
        <v>0.49800000000000005</v>
      </c>
      <c r="Q115" s="34"/>
      <c r="R115" s="34">
        <f t="shared" si="7"/>
        <v>5.4780000000000006</v>
      </c>
      <c r="S115" s="35" t="s">
        <v>27</v>
      </c>
      <c r="T115" s="34">
        <f t="shared" si="8"/>
        <v>0.3</v>
      </c>
      <c r="U115" s="35" t="s">
        <v>27</v>
      </c>
      <c r="V115" s="34">
        <f t="shared" si="9"/>
        <v>0.3</v>
      </c>
      <c r="W115" s="35" t="s">
        <v>27</v>
      </c>
      <c r="X115" s="34">
        <f t="shared" si="10"/>
        <v>0.3</v>
      </c>
      <c r="Y115" s="36">
        <f t="shared" si="11"/>
        <v>11536668.000000002</v>
      </c>
      <c r="Z115" s="37" t="s">
        <v>540</v>
      </c>
    </row>
    <row r="116" spans="1:26" ht="28.5" x14ac:dyDescent="0.25">
      <c r="A116" s="1" t="s">
        <v>22</v>
      </c>
      <c r="B116" s="15" t="s">
        <v>23</v>
      </c>
      <c r="C116" s="28" t="s">
        <v>146</v>
      </c>
      <c r="D116" s="29">
        <f>MAX($D$8:D115)+1</f>
        <v>103</v>
      </c>
      <c r="E116" s="64" t="s">
        <v>148</v>
      </c>
      <c r="F116" s="31">
        <v>5610818433</v>
      </c>
      <c r="G116" s="32">
        <v>4.74</v>
      </c>
      <c r="H116" s="33"/>
      <c r="I116" s="34">
        <v>0.6</v>
      </c>
      <c r="J116" s="34">
        <f t="shared" si="6"/>
        <v>5.34</v>
      </c>
      <c r="K116" s="32">
        <v>4.74</v>
      </c>
      <c r="L116" s="33"/>
      <c r="M116" s="34">
        <v>0.6</v>
      </c>
      <c r="N116" s="34">
        <f t="shared" si="6"/>
        <v>5.34</v>
      </c>
      <c r="O116" s="32">
        <v>4.74</v>
      </c>
      <c r="P116" s="33"/>
      <c r="Q116" s="34">
        <v>0.6</v>
      </c>
      <c r="R116" s="34">
        <f t="shared" si="7"/>
        <v>5.34</v>
      </c>
      <c r="S116" s="35" t="s">
        <v>27</v>
      </c>
      <c r="T116" s="34">
        <f t="shared" si="8"/>
        <v>0.3</v>
      </c>
      <c r="U116" s="35" t="s">
        <v>27</v>
      </c>
      <c r="V116" s="34">
        <f t="shared" si="9"/>
        <v>0.3</v>
      </c>
      <c r="W116" s="35" t="s">
        <v>27</v>
      </c>
      <c r="X116" s="34">
        <f t="shared" si="10"/>
        <v>0.3</v>
      </c>
      <c r="Y116" s="36">
        <f t="shared" si="11"/>
        <v>11246039.999999998</v>
      </c>
      <c r="Z116" s="37" t="s">
        <v>541</v>
      </c>
    </row>
    <row r="117" spans="1:26" ht="28.5" x14ac:dyDescent="0.25">
      <c r="A117" s="1" t="s">
        <v>22</v>
      </c>
      <c r="B117" s="15" t="s">
        <v>23</v>
      </c>
      <c r="C117" s="28" t="s">
        <v>146</v>
      </c>
      <c r="D117" s="29">
        <f>MAX($D$8:D116)+1</f>
        <v>104</v>
      </c>
      <c r="E117" s="30" t="s">
        <v>149</v>
      </c>
      <c r="F117" s="31">
        <v>5610570575</v>
      </c>
      <c r="G117" s="32">
        <v>3.66</v>
      </c>
      <c r="H117" s="33"/>
      <c r="I117" s="34"/>
      <c r="J117" s="34">
        <f t="shared" si="6"/>
        <v>3.66</v>
      </c>
      <c r="K117" s="32">
        <v>3.66</v>
      </c>
      <c r="L117" s="33"/>
      <c r="M117" s="34"/>
      <c r="N117" s="34">
        <f t="shared" si="6"/>
        <v>3.66</v>
      </c>
      <c r="O117" s="32">
        <v>3.66</v>
      </c>
      <c r="P117" s="33"/>
      <c r="Q117" s="34"/>
      <c r="R117" s="34">
        <f t="shared" si="7"/>
        <v>3.66</v>
      </c>
      <c r="S117" s="35" t="s">
        <v>27</v>
      </c>
      <c r="T117" s="34">
        <f t="shared" si="8"/>
        <v>0.3</v>
      </c>
      <c r="U117" s="35" t="s">
        <v>27</v>
      </c>
      <c r="V117" s="34">
        <f t="shared" si="9"/>
        <v>0.3</v>
      </c>
      <c r="W117" s="35" t="s">
        <v>27</v>
      </c>
      <c r="X117" s="34">
        <f t="shared" si="10"/>
        <v>0.3</v>
      </c>
      <c r="Y117" s="36">
        <f t="shared" si="11"/>
        <v>7707960.0000000009</v>
      </c>
      <c r="Z117" s="37" t="s">
        <v>542</v>
      </c>
    </row>
    <row r="118" spans="1:26" ht="28.5" x14ac:dyDescent="0.25">
      <c r="A118" s="1" t="s">
        <v>22</v>
      </c>
      <c r="B118" s="15" t="s">
        <v>23</v>
      </c>
      <c r="C118" s="28" t="s">
        <v>146</v>
      </c>
      <c r="D118" s="29">
        <f>MAX($D$8:D117)+1</f>
        <v>105</v>
      </c>
      <c r="E118" s="64" t="s">
        <v>150</v>
      </c>
      <c r="F118" s="31">
        <v>5610756205</v>
      </c>
      <c r="G118" s="32">
        <v>3.33</v>
      </c>
      <c r="H118" s="33"/>
      <c r="I118" s="34"/>
      <c r="J118" s="34">
        <f t="shared" si="6"/>
        <v>3.33</v>
      </c>
      <c r="K118" s="32">
        <v>3.33</v>
      </c>
      <c r="L118" s="33"/>
      <c r="M118" s="34"/>
      <c r="N118" s="34">
        <f t="shared" si="6"/>
        <v>3.33</v>
      </c>
      <c r="O118" s="32">
        <v>3.33</v>
      </c>
      <c r="P118" s="33"/>
      <c r="Q118" s="34"/>
      <c r="R118" s="34">
        <f t="shared" si="7"/>
        <v>3.33</v>
      </c>
      <c r="S118" s="35" t="s">
        <v>27</v>
      </c>
      <c r="T118" s="34">
        <f t="shared" si="8"/>
        <v>0.3</v>
      </c>
      <c r="U118" s="35" t="s">
        <v>27</v>
      </c>
      <c r="V118" s="34">
        <f t="shared" si="9"/>
        <v>0.3</v>
      </c>
      <c r="W118" s="35" t="s">
        <v>27</v>
      </c>
      <c r="X118" s="34">
        <f t="shared" si="10"/>
        <v>0.3</v>
      </c>
      <c r="Y118" s="36">
        <f t="shared" si="11"/>
        <v>7012980</v>
      </c>
      <c r="Z118" s="37" t="s">
        <v>543</v>
      </c>
    </row>
    <row r="119" spans="1:26" ht="28.5" x14ac:dyDescent="0.25">
      <c r="A119" s="1" t="s">
        <v>22</v>
      </c>
      <c r="B119" s="15" t="s">
        <v>23</v>
      </c>
      <c r="C119" s="28" t="s">
        <v>146</v>
      </c>
      <c r="D119" s="29">
        <f>MAX($D$8:D118)+1</f>
        <v>106</v>
      </c>
      <c r="E119" s="64" t="s">
        <v>151</v>
      </c>
      <c r="F119" s="31">
        <v>5610756199</v>
      </c>
      <c r="G119" s="32">
        <v>3.33</v>
      </c>
      <c r="H119" s="33"/>
      <c r="I119" s="34"/>
      <c r="J119" s="34">
        <f t="shared" si="6"/>
        <v>3.33</v>
      </c>
      <c r="K119" s="32">
        <v>3.33</v>
      </c>
      <c r="L119" s="33"/>
      <c r="M119" s="34"/>
      <c r="N119" s="34">
        <f t="shared" si="6"/>
        <v>3.33</v>
      </c>
      <c r="O119" s="32">
        <v>3.33</v>
      </c>
      <c r="P119" s="33"/>
      <c r="Q119" s="34"/>
      <c r="R119" s="34">
        <f t="shared" si="7"/>
        <v>3.33</v>
      </c>
      <c r="S119" s="35" t="s">
        <v>27</v>
      </c>
      <c r="T119" s="34">
        <f t="shared" si="8"/>
        <v>0.3</v>
      </c>
      <c r="U119" s="35" t="s">
        <v>27</v>
      </c>
      <c r="V119" s="34">
        <f t="shared" si="9"/>
        <v>0.3</v>
      </c>
      <c r="W119" s="35" t="s">
        <v>27</v>
      </c>
      <c r="X119" s="34">
        <f t="shared" si="10"/>
        <v>0.3</v>
      </c>
      <c r="Y119" s="36">
        <f t="shared" si="11"/>
        <v>7012980</v>
      </c>
      <c r="Z119" s="37" t="s">
        <v>544</v>
      </c>
    </row>
    <row r="120" spans="1:26" ht="28.5" x14ac:dyDescent="0.25">
      <c r="A120" s="1" t="s">
        <v>22</v>
      </c>
      <c r="B120" s="15" t="s">
        <v>23</v>
      </c>
      <c r="C120" s="28" t="s">
        <v>146</v>
      </c>
      <c r="D120" s="29">
        <f>MAX($D$8:D119)+1</f>
        <v>107</v>
      </c>
      <c r="E120" s="30" t="s">
        <v>152</v>
      </c>
      <c r="F120" s="31">
        <v>5611218072</v>
      </c>
      <c r="G120" s="32">
        <v>2.67</v>
      </c>
      <c r="H120" s="33"/>
      <c r="I120" s="34"/>
      <c r="J120" s="34">
        <f t="shared" si="6"/>
        <v>2.67</v>
      </c>
      <c r="K120" s="32">
        <v>2.67</v>
      </c>
      <c r="L120" s="33"/>
      <c r="M120" s="34"/>
      <c r="N120" s="34">
        <f t="shared" si="6"/>
        <v>2.67</v>
      </c>
      <c r="O120" s="32">
        <v>2.67</v>
      </c>
      <c r="P120" s="33"/>
      <c r="Q120" s="34"/>
      <c r="R120" s="34">
        <f t="shared" si="7"/>
        <v>2.67</v>
      </c>
      <c r="S120" s="35" t="s">
        <v>27</v>
      </c>
      <c r="T120" s="34">
        <f t="shared" si="8"/>
        <v>0.3</v>
      </c>
      <c r="U120" s="35" t="s">
        <v>27</v>
      </c>
      <c r="V120" s="34">
        <f t="shared" si="9"/>
        <v>0.3</v>
      </c>
      <c r="W120" s="35" t="s">
        <v>27</v>
      </c>
      <c r="X120" s="34">
        <f t="shared" si="10"/>
        <v>0.3</v>
      </c>
      <c r="Y120" s="36">
        <f t="shared" si="11"/>
        <v>5623019.9999999991</v>
      </c>
      <c r="Z120" s="37" t="s">
        <v>545</v>
      </c>
    </row>
    <row r="121" spans="1:26" ht="28.5" x14ac:dyDescent="0.25">
      <c r="A121" s="1" t="s">
        <v>22</v>
      </c>
      <c r="B121" s="15" t="s">
        <v>23</v>
      </c>
      <c r="C121" s="28" t="s">
        <v>146</v>
      </c>
      <c r="D121" s="29">
        <f>MAX($D$8:D120)+1</f>
        <v>108</v>
      </c>
      <c r="E121" s="66" t="s">
        <v>153</v>
      </c>
      <c r="F121" s="47">
        <v>5623448739</v>
      </c>
      <c r="G121" s="94">
        <v>3.33</v>
      </c>
      <c r="H121" s="33"/>
      <c r="I121" s="34">
        <v>0.5</v>
      </c>
      <c r="J121" s="34">
        <f t="shared" si="6"/>
        <v>3.83</v>
      </c>
      <c r="K121" s="94">
        <v>3.33</v>
      </c>
      <c r="L121" s="33"/>
      <c r="M121" s="34">
        <v>0.5</v>
      </c>
      <c r="N121" s="34">
        <f t="shared" si="6"/>
        <v>3.83</v>
      </c>
      <c r="O121" s="94">
        <v>3.33</v>
      </c>
      <c r="P121" s="33"/>
      <c r="Q121" s="34">
        <v>0.5</v>
      </c>
      <c r="R121" s="34">
        <f t="shared" si="7"/>
        <v>3.83</v>
      </c>
      <c r="S121" s="35" t="s">
        <v>27</v>
      </c>
      <c r="T121" s="34">
        <f t="shared" si="8"/>
        <v>0.3</v>
      </c>
      <c r="U121" s="35" t="s">
        <v>27</v>
      </c>
      <c r="V121" s="34">
        <f t="shared" si="9"/>
        <v>0.3</v>
      </c>
      <c r="W121" s="35" t="s">
        <v>27</v>
      </c>
      <c r="X121" s="34">
        <f t="shared" si="10"/>
        <v>0.3</v>
      </c>
      <c r="Y121" s="36">
        <f t="shared" si="11"/>
        <v>8065980</v>
      </c>
      <c r="Z121" s="37" t="s">
        <v>546</v>
      </c>
    </row>
    <row r="122" spans="1:26" ht="28.5" x14ac:dyDescent="0.25">
      <c r="A122" s="1" t="s">
        <v>22</v>
      </c>
      <c r="B122" s="15" t="s">
        <v>23</v>
      </c>
      <c r="C122" s="28" t="s">
        <v>146</v>
      </c>
      <c r="D122" s="29">
        <f>MAX($D$8:D121)+1</f>
        <v>109</v>
      </c>
      <c r="E122" s="83" t="s">
        <v>154</v>
      </c>
      <c r="F122" s="47">
        <v>8823373260</v>
      </c>
      <c r="G122" s="95">
        <v>3.33</v>
      </c>
      <c r="H122" s="95"/>
      <c r="I122" s="95"/>
      <c r="J122" s="34">
        <f t="shared" si="6"/>
        <v>3.33</v>
      </c>
      <c r="K122" s="95">
        <v>3.33</v>
      </c>
      <c r="L122" s="95"/>
      <c r="M122" s="95"/>
      <c r="N122" s="34">
        <f t="shared" si="6"/>
        <v>3.33</v>
      </c>
      <c r="O122" s="95">
        <v>3.33</v>
      </c>
      <c r="P122" s="95"/>
      <c r="Q122" s="95"/>
      <c r="R122" s="34">
        <f t="shared" si="7"/>
        <v>3.33</v>
      </c>
      <c r="S122" s="35" t="s">
        <v>77</v>
      </c>
      <c r="T122" s="34">
        <f t="shared" si="8"/>
        <v>0</v>
      </c>
      <c r="U122" s="35" t="s">
        <v>77</v>
      </c>
      <c r="V122" s="34">
        <f t="shared" si="9"/>
        <v>0</v>
      </c>
      <c r="W122" s="35" t="s">
        <v>77</v>
      </c>
      <c r="X122" s="34">
        <f t="shared" si="10"/>
        <v>0</v>
      </c>
      <c r="Y122" s="36">
        <f t="shared" si="11"/>
        <v>0</v>
      </c>
      <c r="Z122" s="37" t="s">
        <v>547</v>
      </c>
    </row>
    <row r="123" spans="1:26" ht="28.5" x14ac:dyDescent="0.25">
      <c r="A123" s="1" t="s">
        <v>22</v>
      </c>
      <c r="B123" s="15" t="s">
        <v>23</v>
      </c>
      <c r="C123" s="28" t="s">
        <v>146</v>
      </c>
      <c r="D123" s="29">
        <f>MAX($D$8:D122)+1</f>
        <v>110</v>
      </c>
      <c r="E123" s="70" t="s">
        <v>155</v>
      </c>
      <c r="F123" s="47">
        <v>8863369400</v>
      </c>
      <c r="G123" s="93">
        <v>3.33</v>
      </c>
      <c r="H123" s="93"/>
      <c r="I123" s="93"/>
      <c r="J123" s="34">
        <f t="shared" si="6"/>
        <v>3.33</v>
      </c>
      <c r="K123" s="93">
        <v>3.33</v>
      </c>
      <c r="L123" s="93"/>
      <c r="M123" s="93"/>
      <c r="N123" s="34">
        <f t="shared" si="6"/>
        <v>3.33</v>
      </c>
      <c r="O123" s="93">
        <v>3.33</v>
      </c>
      <c r="P123" s="93"/>
      <c r="Q123" s="93"/>
      <c r="R123" s="34">
        <f t="shared" si="7"/>
        <v>3.33</v>
      </c>
      <c r="S123" s="35" t="s">
        <v>27</v>
      </c>
      <c r="T123" s="34">
        <f t="shared" si="8"/>
        <v>0.3</v>
      </c>
      <c r="U123" s="35" t="s">
        <v>27</v>
      </c>
      <c r="V123" s="34">
        <f t="shared" si="9"/>
        <v>0.3</v>
      </c>
      <c r="W123" s="35" t="s">
        <v>27</v>
      </c>
      <c r="X123" s="34">
        <f t="shared" si="10"/>
        <v>0.3</v>
      </c>
      <c r="Y123" s="36">
        <f t="shared" si="11"/>
        <v>7012980</v>
      </c>
      <c r="Z123" s="37" t="s">
        <v>548</v>
      </c>
    </row>
    <row r="124" spans="1:26" ht="28.5" x14ac:dyDescent="0.25">
      <c r="A124" s="1" t="s">
        <v>22</v>
      </c>
      <c r="B124" s="15" t="s">
        <v>23</v>
      </c>
      <c r="C124" s="28" t="s">
        <v>146</v>
      </c>
      <c r="D124" s="29">
        <f>MAX($D$8:D123)+1</f>
        <v>111</v>
      </c>
      <c r="E124" s="70" t="s">
        <v>156</v>
      </c>
      <c r="F124" s="47">
        <v>5623448809</v>
      </c>
      <c r="G124" s="93">
        <v>3</v>
      </c>
      <c r="H124" s="93"/>
      <c r="I124" s="93"/>
      <c r="J124" s="34">
        <f t="shared" si="6"/>
        <v>3</v>
      </c>
      <c r="K124" s="93">
        <v>3</v>
      </c>
      <c r="L124" s="93"/>
      <c r="M124" s="93"/>
      <c r="N124" s="34">
        <f t="shared" si="6"/>
        <v>3</v>
      </c>
      <c r="O124" s="93">
        <v>3</v>
      </c>
      <c r="P124" s="93"/>
      <c r="Q124" s="93"/>
      <c r="R124" s="34">
        <f t="shared" si="7"/>
        <v>3</v>
      </c>
      <c r="S124" s="35" t="s">
        <v>27</v>
      </c>
      <c r="T124" s="34">
        <f t="shared" si="8"/>
        <v>0.3</v>
      </c>
      <c r="U124" s="35" t="s">
        <v>27</v>
      </c>
      <c r="V124" s="34">
        <f t="shared" si="9"/>
        <v>0.3</v>
      </c>
      <c r="W124" s="35" t="s">
        <v>27</v>
      </c>
      <c r="X124" s="34">
        <f t="shared" si="10"/>
        <v>0.3</v>
      </c>
      <c r="Y124" s="36">
        <f t="shared" si="11"/>
        <v>6317999.9999999991</v>
      </c>
      <c r="Z124" s="37" t="s">
        <v>549</v>
      </c>
    </row>
    <row r="125" spans="1:26" ht="28.5" x14ac:dyDescent="0.25">
      <c r="A125" s="1" t="s">
        <v>22</v>
      </c>
      <c r="B125" s="15" t="s">
        <v>23</v>
      </c>
      <c r="C125" s="28" t="s">
        <v>146</v>
      </c>
      <c r="D125" s="29">
        <f>MAX($D$8:D124)+1</f>
        <v>112</v>
      </c>
      <c r="E125" s="83" t="s">
        <v>157</v>
      </c>
      <c r="F125" s="47">
        <v>5624757836</v>
      </c>
      <c r="G125" s="67">
        <v>3</v>
      </c>
      <c r="H125" s="67"/>
      <c r="I125" s="67"/>
      <c r="J125" s="34">
        <f t="shared" si="6"/>
        <v>3</v>
      </c>
      <c r="K125" s="67">
        <v>3</v>
      </c>
      <c r="L125" s="67"/>
      <c r="M125" s="67"/>
      <c r="N125" s="34">
        <f t="shared" si="6"/>
        <v>3</v>
      </c>
      <c r="O125" s="67">
        <v>3</v>
      </c>
      <c r="P125" s="67"/>
      <c r="Q125" s="67"/>
      <c r="R125" s="34">
        <f t="shared" si="7"/>
        <v>3</v>
      </c>
      <c r="S125" s="35" t="s">
        <v>27</v>
      </c>
      <c r="T125" s="34">
        <f t="shared" si="8"/>
        <v>0.3</v>
      </c>
      <c r="U125" s="35" t="s">
        <v>27</v>
      </c>
      <c r="V125" s="34">
        <f t="shared" si="9"/>
        <v>0.3</v>
      </c>
      <c r="W125" s="35" t="s">
        <v>27</v>
      </c>
      <c r="X125" s="34">
        <f t="shared" si="10"/>
        <v>0.3</v>
      </c>
      <c r="Y125" s="36">
        <f t="shared" si="11"/>
        <v>6317999.9999999991</v>
      </c>
      <c r="Z125" s="37" t="s">
        <v>550</v>
      </c>
    </row>
    <row r="126" spans="1:26" ht="28.5" x14ac:dyDescent="0.25">
      <c r="A126" s="1" t="s">
        <v>22</v>
      </c>
      <c r="B126" s="15" t="s">
        <v>23</v>
      </c>
      <c r="C126" s="28" t="s">
        <v>146</v>
      </c>
      <c r="D126" s="29">
        <f>MAX($D$8:D125)+1</f>
        <v>113</v>
      </c>
      <c r="E126" s="83" t="s">
        <v>158</v>
      </c>
      <c r="F126" s="47">
        <v>5623455076</v>
      </c>
      <c r="G126" s="96">
        <v>3.33</v>
      </c>
      <c r="H126" s="96"/>
      <c r="I126" s="96"/>
      <c r="J126" s="34">
        <f t="shared" si="6"/>
        <v>3.33</v>
      </c>
      <c r="K126" s="97">
        <v>3.33</v>
      </c>
      <c r="L126" s="97"/>
      <c r="M126" s="97"/>
      <c r="N126" s="34">
        <f t="shared" si="6"/>
        <v>3.33</v>
      </c>
      <c r="O126" s="97">
        <v>3.33</v>
      </c>
      <c r="P126" s="97"/>
      <c r="Q126" s="97"/>
      <c r="R126" s="34">
        <f t="shared" si="7"/>
        <v>3.33</v>
      </c>
      <c r="S126" s="35" t="s">
        <v>27</v>
      </c>
      <c r="T126" s="34">
        <f t="shared" si="8"/>
        <v>0.3</v>
      </c>
      <c r="U126" s="35" t="s">
        <v>27</v>
      </c>
      <c r="V126" s="34">
        <f t="shared" si="9"/>
        <v>0.3</v>
      </c>
      <c r="W126" s="35" t="s">
        <v>27</v>
      </c>
      <c r="X126" s="34">
        <f t="shared" si="10"/>
        <v>0.3</v>
      </c>
      <c r="Y126" s="36">
        <f t="shared" si="11"/>
        <v>7012980</v>
      </c>
      <c r="Z126" s="37" t="s">
        <v>551</v>
      </c>
    </row>
    <row r="127" spans="1:26" ht="28.5" x14ac:dyDescent="0.25">
      <c r="A127" s="1" t="s">
        <v>22</v>
      </c>
      <c r="B127" s="15" t="s">
        <v>23</v>
      </c>
      <c r="C127" s="28" t="s">
        <v>146</v>
      </c>
      <c r="D127" s="29">
        <f>MAX($D$8:D126)+1</f>
        <v>114</v>
      </c>
      <c r="E127" s="83" t="s">
        <v>159</v>
      </c>
      <c r="F127" s="47">
        <v>8893381244</v>
      </c>
      <c r="G127" s="95">
        <v>2.67</v>
      </c>
      <c r="H127" s="95"/>
      <c r="I127" s="95"/>
      <c r="J127" s="34">
        <f t="shared" si="6"/>
        <v>2.67</v>
      </c>
      <c r="K127" s="95">
        <v>2.67</v>
      </c>
      <c r="L127" s="95"/>
      <c r="M127" s="95"/>
      <c r="N127" s="34">
        <f t="shared" si="6"/>
        <v>2.67</v>
      </c>
      <c r="O127" s="95">
        <v>2.67</v>
      </c>
      <c r="P127" s="95"/>
      <c r="Q127" s="95"/>
      <c r="R127" s="34">
        <f t="shared" si="7"/>
        <v>2.67</v>
      </c>
      <c r="S127" s="35" t="s">
        <v>27</v>
      </c>
      <c r="T127" s="34">
        <f t="shared" si="8"/>
        <v>0.3</v>
      </c>
      <c r="U127" s="35" t="s">
        <v>27</v>
      </c>
      <c r="V127" s="34">
        <f t="shared" si="9"/>
        <v>0.3</v>
      </c>
      <c r="W127" s="35" t="s">
        <v>27</v>
      </c>
      <c r="X127" s="34">
        <f t="shared" si="10"/>
        <v>0.3</v>
      </c>
      <c r="Y127" s="36">
        <f t="shared" si="11"/>
        <v>5623019.9999999991</v>
      </c>
      <c r="Z127" s="37" t="s">
        <v>552</v>
      </c>
    </row>
    <row r="128" spans="1:26" ht="28.5" x14ac:dyDescent="0.25">
      <c r="A128" s="1" t="s">
        <v>22</v>
      </c>
      <c r="B128" s="15" t="s">
        <v>23</v>
      </c>
      <c r="C128" s="28" t="s">
        <v>146</v>
      </c>
      <c r="D128" s="29">
        <f>MAX($D$8:D127)+1</f>
        <v>115</v>
      </c>
      <c r="E128" s="83" t="s">
        <v>160</v>
      </c>
      <c r="F128" s="47">
        <v>8884960371</v>
      </c>
      <c r="G128" s="67">
        <v>2.34</v>
      </c>
      <c r="H128" s="67"/>
      <c r="I128" s="67"/>
      <c r="J128" s="34">
        <f t="shared" si="6"/>
        <v>2.34</v>
      </c>
      <c r="K128" s="67">
        <v>2.34</v>
      </c>
      <c r="L128" s="67"/>
      <c r="M128" s="67"/>
      <c r="N128" s="34">
        <f t="shared" si="6"/>
        <v>2.34</v>
      </c>
      <c r="O128" s="67">
        <v>2.34</v>
      </c>
      <c r="P128" s="67"/>
      <c r="Q128" s="67"/>
      <c r="R128" s="34">
        <f t="shared" si="7"/>
        <v>2.34</v>
      </c>
      <c r="S128" s="35" t="s">
        <v>27</v>
      </c>
      <c r="T128" s="34">
        <f t="shared" si="8"/>
        <v>0.3</v>
      </c>
      <c r="U128" s="35" t="s">
        <v>27</v>
      </c>
      <c r="V128" s="34">
        <f t="shared" si="9"/>
        <v>0.3</v>
      </c>
      <c r="W128" s="35" t="s">
        <v>27</v>
      </c>
      <c r="X128" s="34">
        <f t="shared" si="10"/>
        <v>0.3</v>
      </c>
      <c r="Y128" s="36">
        <f t="shared" si="11"/>
        <v>4928040</v>
      </c>
      <c r="Z128" s="37" t="s">
        <v>553</v>
      </c>
    </row>
    <row r="129" spans="1:26" ht="28.5" x14ac:dyDescent="0.25">
      <c r="A129" s="1" t="s">
        <v>22</v>
      </c>
      <c r="B129" s="15" t="s">
        <v>23</v>
      </c>
      <c r="C129" s="28" t="s">
        <v>146</v>
      </c>
      <c r="D129" s="29">
        <f>MAX($D$8:D128)+1</f>
        <v>116</v>
      </c>
      <c r="E129" s="62" t="s">
        <v>161</v>
      </c>
      <c r="F129" s="47">
        <v>5623454860</v>
      </c>
      <c r="G129" s="47">
        <v>3.33</v>
      </c>
      <c r="H129" s="47"/>
      <c r="I129" s="47"/>
      <c r="J129" s="34">
        <f t="shared" si="6"/>
        <v>3.33</v>
      </c>
      <c r="K129" s="98">
        <v>3.66</v>
      </c>
      <c r="L129" s="98"/>
      <c r="M129" s="98"/>
      <c r="N129" s="34">
        <f t="shared" si="6"/>
        <v>3.66</v>
      </c>
      <c r="O129" s="47">
        <v>3.66</v>
      </c>
      <c r="P129" s="47"/>
      <c r="Q129" s="47"/>
      <c r="R129" s="34">
        <f t="shared" si="7"/>
        <v>3.66</v>
      </c>
      <c r="S129" s="35" t="s">
        <v>27</v>
      </c>
      <c r="T129" s="34">
        <f t="shared" si="8"/>
        <v>0.3</v>
      </c>
      <c r="U129" s="35" t="s">
        <v>27</v>
      </c>
      <c r="V129" s="34">
        <f t="shared" si="9"/>
        <v>0.3</v>
      </c>
      <c r="W129" s="35" t="s">
        <v>27</v>
      </c>
      <c r="X129" s="34">
        <f t="shared" si="10"/>
        <v>0.3</v>
      </c>
      <c r="Y129" s="36">
        <f t="shared" si="11"/>
        <v>7476300.0000000009</v>
      </c>
      <c r="Z129" s="37" t="s">
        <v>554</v>
      </c>
    </row>
    <row r="130" spans="1:26" ht="28.5" x14ac:dyDescent="0.25">
      <c r="A130" s="1" t="s">
        <v>22</v>
      </c>
      <c r="B130" s="15" t="s">
        <v>23</v>
      </c>
      <c r="C130" s="28" t="s">
        <v>146</v>
      </c>
      <c r="D130" s="29">
        <f>MAX($D$8:D129)+1</f>
        <v>117</v>
      </c>
      <c r="E130" s="83" t="s">
        <v>162</v>
      </c>
      <c r="F130" s="47">
        <v>5620596763</v>
      </c>
      <c r="G130" s="96">
        <v>3.66</v>
      </c>
      <c r="H130" s="96"/>
      <c r="I130" s="96"/>
      <c r="J130" s="34">
        <f t="shared" si="6"/>
        <v>3.66</v>
      </c>
      <c r="K130" s="97">
        <v>3.66</v>
      </c>
      <c r="L130" s="97"/>
      <c r="M130" s="97"/>
      <c r="N130" s="34">
        <f t="shared" si="6"/>
        <v>3.66</v>
      </c>
      <c r="O130" s="97">
        <v>3.66</v>
      </c>
      <c r="P130" s="97"/>
      <c r="Q130" s="97"/>
      <c r="R130" s="34">
        <f t="shared" si="7"/>
        <v>3.66</v>
      </c>
      <c r="S130" s="35" t="s">
        <v>27</v>
      </c>
      <c r="T130" s="34">
        <f t="shared" si="8"/>
        <v>0.3</v>
      </c>
      <c r="U130" s="35" t="s">
        <v>27</v>
      </c>
      <c r="V130" s="34">
        <f t="shared" si="9"/>
        <v>0.3</v>
      </c>
      <c r="W130" s="35" t="s">
        <v>27</v>
      </c>
      <c r="X130" s="34">
        <f t="shared" si="10"/>
        <v>0.3</v>
      </c>
      <c r="Y130" s="36">
        <f t="shared" si="11"/>
        <v>7707960.0000000009</v>
      </c>
      <c r="Z130" s="37" t="s">
        <v>555</v>
      </c>
    </row>
    <row r="131" spans="1:26" ht="28.5" x14ac:dyDescent="0.25">
      <c r="A131" s="1" t="s">
        <v>22</v>
      </c>
      <c r="B131" s="15" t="s">
        <v>23</v>
      </c>
      <c r="C131" s="28" t="s">
        <v>146</v>
      </c>
      <c r="D131" s="29">
        <f>MAX($D$8:D130)+1</f>
        <v>118</v>
      </c>
      <c r="E131" s="64" t="s">
        <v>163</v>
      </c>
      <c r="F131" s="31">
        <v>5610219036</v>
      </c>
      <c r="G131" s="32">
        <v>3.66</v>
      </c>
      <c r="H131" s="32"/>
      <c r="I131" s="32"/>
      <c r="J131" s="34">
        <f t="shared" si="6"/>
        <v>3.66</v>
      </c>
      <c r="K131" s="32">
        <v>3.66</v>
      </c>
      <c r="L131" s="32"/>
      <c r="M131" s="32"/>
      <c r="N131" s="34">
        <f t="shared" si="6"/>
        <v>3.66</v>
      </c>
      <c r="O131" s="32">
        <v>3.66</v>
      </c>
      <c r="P131" s="32"/>
      <c r="Q131" s="32"/>
      <c r="R131" s="34">
        <f t="shared" si="7"/>
        <v>3.66</v>
      </c>
      <c r="S131" s="35" t="s">
        <v>27</v>
      </c>
      <c r="T131" s="34">
        <f t="shared" si="8"/>
        <v>0.3</v>
      </c>
      <c r="U131" s="35" t="s">
        <v>27</v>
      </c>
      <c r="V131" s="34">
        <f t="shared" si="9"/>
        <v>0.3</v>
      </c>
      <c r="W131" s="35" t="s">
        <v>27</v>
      </c>
      <c r="X131" s="34">
        <f t="shared" si="10"/>
        <v>0.3</v>
      </c>
      <c r="Y131" s="36">
        <f t="shared" si="11"/>
        <v>7707960.0000000009</v>
      </c>
      <c r="Z131" s="37" t="s">
        <v>556</v>
      </c>
    </row>
    <row r="132" spans="1:26" x14ac:dyDescent="0.25">
      <c r="B132" s="15"/>
      <c r="C132" s="28"/>
      <c r="D132" s="29" t="s">
        <v>20</v>
      </c>
      <c r="E132" s="44" t="s">
        <v>164</v>
      </c>
      <c r="F132" s="31"/>
      <c r="G132" s="32"/>
      <c r="H132" s="32"/>
      <c r="I132" s="32"/>
      <c r="J132" s="34"/>
      <c r="K132" s="32"/>
      <c r="L132" s="32"/>
      <c r="M132" s="32"/>
      <c r="N132" s="34"/>
      <c r="O132" s="32"/>
      <c r="P132" s="32"/>
      <c r="Q132" s="32"/>
      <c r="R132" s="34"/>
      <c r="S132" s="35"/>
      <c r="T132" s="34"/>
      <c r="U132" s="35"/>
      <c r="V132" s="34"/>
      <c r="W132" s="35"/>
      <c r="X132" s="34"/>
      <c r="Y132" s="36"/>
      <c r="Z132" s="37"/>
    </row>
    <row r="133" spans="1:26" ht="28.5" x14ac:dyDescent="0.25">
      <c r="A133" s="1" t="s">
        <v>22</v>
      </c>
      <c r="B133" s="15" t="s">
        <v>23</v>
      </c>
      <c r="C133" s="28" t="s">
        <v>165</v>
      </c>
      <c r="D133" s="29">
        <f>MAX($D$8:D132)+1</f>
        <v>119</v>
      </c>
      <c r="E133" s="64" t="s">
        <v>166</v>
      </c>
      <c r="F133" s="31">
        <v>5610277520</v>
      </c>
      <c r="G133" s="32">
        <v>4.9800000000000004</v>
      </c>
      <c r="H133" s="32"/>
      <c r="I133" s="32"/>
      <c r="J133" s="34">
        <f t="shared" si="6"/>
        <v>4.9800000000000004</v>
      </c>
      <c r="K133" s="32">
        <v>4.9800000000000004</v>
      </c>
      <c r="L133" s="32"/>
      <c r="M133" s="32"/>
      <c r="N133" s="34">
        <f t="shared" si="6"/>
        <v>4.9800000000000004</v>
      </c>
      <c r="O133" s="32">
        <v>4.9800000000000004</v>
      </c>
      <c r="P133" s="32"/>
      <c r="Q133" s="32"/>
      <c r="R133" s="34">
        <f t="shared" si="7"/>
        <v>4.9800000000000004</v>
      </c>
      <c r="S133" s="35" t="s">
        <v>27</v>
      </c>
      <c r="T133" s="34">
        <f t="shared" si="8"/>
        <v>0.3</v>
      </c>
      <c r="U133" s="35" t="s">
        <v>27</v>
      </c>
      <c r="V133" s="34">
        <f t="shared" si="9"/>
        <v>0.3</v>
      </c>
      <c r="W133" s="35" t="s">
        <v>27</v>
      </c>
      <c r="X133" s="34">
        <f t="shared" si="10"/>
        <v>0.3</v>
      </c>
      <c r="Y133" s="36">
        <f t="shared" si="11"/>
        <v>10487880</v>
      </c>
      <c r="Z133" s="37" t="s">
        <v>557</v>
      </c>
    </row>
    <row r="134" spans="1:26" ht="28.5" x14ac:dyDescent="0.25">
      <c r="A134" s="1" t="s">
        <v>22</v>
      </c>
      <c r="B134" s="15" t="s">
        <v>23</v>
      </c>
      <c r="C134" s="28" t="s">
        <v>165</v>
      </c>
      <c r="D134" s="29">
        <f>MAX($D$8:D133)+1</f>
        <v>120</v>
      </c>
      <c r="E134" s="64" t="s">
        <v>167</v>
      </c>
      <c r="F134" s="31">
        <v>5610085501</v>
      </c>
      <c r="G134" s="32">
        <v>3.99</v>
      </c>
      <c r="H134" s="32"/>
      <c r="I134" s="32"/>
      <c r="J134" s="34">
        <f t="shared" si="6"/>
        <v>3.99</v>
      </c>
      <c r="K134" s="32">
        <v>3.99</v>
      </c>
      <c r="L134" s="32"/>
      <c r="M134" s="32"/>
      <c r="N134" s="34">
        <f t="shared" si="6"/>
        <v>3.99</v>
      </c>
      <c r="O134" s="32">
        <v>3.99</v>
      </c>
      <c r="P134" s="32"/>
      <c r="Q134" s="32"/>
      <c r="R134" s="34">
        <f t="shared" si="7"/>
        <v>3.99</v>
      </c>
      <c r="S134" s="35" t="s">
        <v>27</v>
      </c>
      <c r="T134" s="34">
        <f t="shared" si="8"/>
        <v>0.3</v>
      </c>
      <c r="U134" s="35" t="s">
        <v>27</v>
      </c>
      <c r="V134" s="34">
        <f t="shared" si="9"/>
        <v>0.3</v>
      </c>
      <c r="W134" s="35" t="s">
        <v>27</v>
      </c>
      <c r="X134" s="34">
        <f t="shared" si="10"/>
        <v>0.3</v>
      </c>
      <c r="Y134" s="36">
        <f t="shared" si="11"/>
        <v>8402940</v>
      </c>
      <c r="Z134" s="37" t="s">
        <v>558</v>
      </c>
    </row>
    <row r="135" spans="1:26" ht="30" x14ac:dyDescent="0.25">
      <c r="A135" s="1" t="s">
        <v>22</v>
      </c>
      <c r="B135" s="15" t="s">
        <v>23</v>
      </c>
      <c r="C135" s="28" t="s">
        <v>165</v>
      </c>
      <c r="D135" s="29">
        <f>MAX($D$8:D134)+1</f>
        <v>121</v>
      </c>
      <c r="E135" s="64" t="s">
        <v>168</v>
      </c>
      <c r="F135" s="31">
        <v>5610226762</v>
      </c>
      <c r="G135" s="32">
        <v>4.2699999999999996</v>
      </c>
      <c r="H135" s="32"/>
      <c r="I135" s="32"/>
      <c r="J135" s="34">
        <f t="shared" si="6"/>
        <v>4.2699999999999996</v>
      </c>
      <c r="K135" s="32">
        <v>4.2699999999999996</v>
      </c>
      <c r="L135" s="32"/>
      <c r="M135" s="32"/>
      <c r="N135" s="34">
        <f t="shared" si="6"/>
        <v>4.2699999999999996</v>
      </c>
      <c r="O135" s="32">
        <v>4.2699999999999996</v>
      </c>
      <c r="P135" s="32"/>
      <c r="Q135" s="32"/>
      <c r="R135" s="34">
        <f t="shared" si="7"/>
        <v>4.2699999999999996</v>
      </c>
      <c r="S135" s="35" t="s">
        <v>27</v>
      </c>
      <c r="T135" s="34">
        <f t="shared" si="8"/>
        <v>0.3</v>
      </c>
      <c r="U135" s="35" t="s">
        <v>27</v>
      </c>
      <c r="V135" s="34">
        <f t="shared" si="9"/>
        <v>0.3</v>
      </c>
      <c r="W135" s="35" t="s">
        <v>27</v>
      </c>
      <c r="X135" s="34">
        <f t="shared" si="10"/>
        <v>0.3</v>
      </c>
      <c r="Y135" s="36">
        <f t="shared" si="11"/>
        <v>8992620</v>
      </c>
      <c r="Z135" s="37" t="s">
        <v>559</v>
      </c>
    </row>
    <row r="136" spans="1:26" ht="28.5" x14ac:dyDescent="0.25">
      <c r="A136" s="1" t="s">
        <v>22</v>
      </c>
      <c r="B136" s="15" t="s">
        <v>23</v>
      </c>
      <c r="C136" s="28" t="s">
        <v>165</v>
      </c>
      <c r="D136" s="29">
        <f>MAX($D$8:D135)+1</f>
        <v>122</v>
      </c>
      <c r="E136" s="62" t="s">
        <v>169</v>
      </c>
      <c r="F136" s="47">
        <v>8823369413</v>
      </c>
      <c r="G136" s="48">
        <v>4.9800000000000004</v>
      </c>
      <c r="H136" s="33">
        <f>G136*5%</f>
        <v>0.24900000000000003</v>
      </c>
      <c r="I136" s="34">
        <v>0.6</v>
      </c>
      <c r="J136" s="34">
        <f t="shared" si="6"/>
        <v>5.8289999999999997</v>
      </c>
      <c r="K136" s="48">
        <v>4.9800000000000004</v>
      </c>
      <c r="L136" s="33">
        <f>K136*5%</f>
        <v>0.24900000000000003</v>
      </c>
      <c r="M136" s="34">
        <v>0.6</v>
      </c>
      <c r="N136" s="34">
        <f t="shared" si="6"/>
        <v>5.8289999999999997</v>
      </c>
      <c r="O136" s="48">
        <v>4.9800000000000004</v>
      </c>
      <c r="P136" s="33">
        <f>O136*5%</f>
        <v>0.24900000000000003</v>
      </c>
      <c r="Q136" s="34">
        <v>0.6</v>
      </c>
      <c r="R136" s="34">
        <f t="shared" si="7"/>
        <v>5.8289999999999997</v>
      </c>
      <c r="S136" s="35" t="s">
        <v>27</v>
      </c>
      <c r="T136" s="34">
        <f t="shared" si="8"/>
        <v>0.3</v>
      </c>
      <c r="U136" s="35" t="s">
        <v>27</v>
      </c>
      <c r="V136" s="34">
        <f t="shared" si="9"/>
        <v>0.3</v>
      </c>
      <c r="W136" s="35" t="s">
        <v>27</v>
      </c>
      <c r="X136" s="34">
        <f t="shared" si="10"/>
        <v>0.3</v>
      </c>
      <c r="Y136" s="36">
        <f t="shared" si="11"/>
        <v>12275874</v>
      </c>
      <c r="Z136" s="37" t="s">
        <v>560</v>
      </c>
    </row>
    <row r="137" spans="1:26" ht="28.5" x14ac:dyDescent="0.25">
      <c r="A137" s="1" t="s">
        <v>22</v>
      </c>
      <c r="B137" s="15" t="s">
        <v>23</v>
      </c>
      <c r="C137" s="28" t="s">
        <v>165</v>
      </c>
      <c r="D137" s="29">
        <f>MAX($D$8:D136)+1</f>
        <v>123</v>
      </c>
      <c r="E137" s="70" t="s">
        <v>170</v>
      </c>
      <c r="F137" s="47">
        <v>8883369405</v>
      </c>
      <c r="G137" s="93">
        <v>4.74</v>
      </c>
      <c r="H137" s="33"/>
      <c r="I137" s="34"/>
      <c r="J137" s="34">
        <f t="shared" si="6"/>
        <v>4.74</v>
      </c>
      <c r="K137" s="93">
        <v>4.74</v>
      </c>
      <c r="L137" s="33"/>
      <c r="M137" s="34"/>
      <c r="N137" s="34">
        <f t="shared" si="6"/>
        <v>4.74</v>
      </c>
      <c r="O137" s="93">
        <v>4.74</v>
      </c>
      <c r="P137" s="33"/>
      <c r="Q137" s="34"/>
      <c r="R137" s="34">
        <f t="shared" si="7"/>
        <v>4.74</v>
      </c>
      <c r="S137" s="35" t="s">
        <v>27</v>
      </c>
      <c r="T137" s="34">
        <f t="shared" si="8"/>
        <v>0.3</v>
      </c>
      <c r="U137" s="35" t="s">
        <v>27</v>
      </c>
      <c r="V137" s="34">
        <f t="shared" si="9"/>
        <v>0.3</v>
      </c>
      <c r="W137" s="35" t="s">
        <v>27</v>
      </c>
      <c r="X137" s="34">
        <f t="shared" si="10"/>
        <v>0.3</v>
      </c>
      <c r="Y137" s="36">
        <f t="shared" si="11"/>
        <v>9982440</v>
      </c>
      <c r="Z137" s="37" t="s">
        <v>561</v>
      </c>
    </row>
    <row r="138" spans="1:26" ht="28.5" x14ac:dyDescent="0.25">
      <c r="A138" s="1" t="s">
        <v>22</v>
      </c>
      <c r="B138" s="15" t="s">
        <v>23</v>
      </c>
      <c r="C138" s="28" t="s">
        <v>165</v>
      </c>
      <c r="D138" s="29">
        <f>MAX($D$8:D137)+1</f>
        <v>124</v>
      </c>
      <c r="E138" s="70" t="s">
        <v>171</v>
      </c>
      <c r="F138" s="47">
        <v>8893369401</v>
      </c>
      <c r="G138" s="52">
        <v>4.32</v>
      </c>
      <c r="H138" s="33"/>
      <c r="I138" s="34">
        <v>0.5</v>
      </c>
      <c r="J138" s="34">
        <f t="shared" ref="J138:N201" si="12">G138+H138+I138</f>
        <v>4.82</v>
      </c>
      <c r="K138" s="52">
        <v>4.32</v>
      </c>
      <c r="L138" s="33"/>
      <c r="M138" s="34">
        <v>0.5</v>
      </c>
      <c r="N138" s="34">
        <f t="shared" si="12"/>
        <v>4.82</v>
      </c>
      <c r="O138" s="52">
        <v>4.32</v>
      </c>
      <c r="P138" s="33"/>
      <c r="Q138" s="34">
        <v>0.5</v>
      </c>
      <c r="R138" s="34">
        <f t="shared" ref="R138:R201" si="13">O138+P138+Q138</f>
        <v>4.82</v>
      </c>
      <c r="S138" s="35" t="s">
        <v>27</v>
      </c>
      <c r="T138" s="34">
        <f t="shared" ref="T138:T201" si="14">IF(S138="hoàn thành xuất sắc nhiệm vụ",0.5,IF(S138="hoàn thành tốt nhiệm vụ",0.3,IF(S138="hoàn thành nhiệm vụ",0.1,0)))</f>
        <v>0.3</v>
      </c>
      <c r="U138" s="35" t="s">
        <v>27</v>
      </c>
      <c r="V138" s="34">
        <f t="shared" ref="V138:V201" si="15">IF(U138="hoàn thành xuất sắc nhiệm vụ",0.5,IF(U138="hoàn thành tốt nhiệm vụ",0.3,IF(U138="hoàn thành nhiệm vụ",0.1,0)))</f>
        <v>0.3</v>
      </c>
      <c r="W138" s="35" t="s">
        <v>27</v>
      </c>
      <c r="X138" s="34">
        <f t="shared" ref="X138:X201" si="16">IF(W138="hoàn thành xuất sắc nhiệm vụ",0.5,IF(W138="hoàn thành tốt nhiệm vụ",0.3,IF(W138="hoàn thành nhiệm vụ",0.1,0)))</f>
        <v>0.3</v>
      </c>
      <c r="Y138" s="36">
        <f t="shared" ref="Y138:Y201" si="17">(J138*T138+N138*V138+R138*X138)*2340000</f>
        <v>10150920</v>
      </c>
      <c r="Z138" s="37" t="s">
        <v>562</v>
      </c>
    </row>
    <row r="139" spans="1:26" ht="28.5" x14ac:dyDescent="0.25">
      <c r="A139" s="1" t="s">
        <v>22</v>
      </c>
      <c r="B139" s="15" t="s">
        <v>23</v>
      </c>
      <c r="C139" s="28" t="s">
        <v>165</v>
      </c>
      <c r="D139" s="29">
        <f>MAX($D$8:D138)+1</f>
        <v>125</v>
      </c>
      <c r="E139" s="62" t="s">
        <v>172</v>
      </c>
      <c r="F139" s="47">
        <v>8833369430</v>
      </c>
      <c r="G139" s="52">
        <v>2.34</v>
      </c>
      <c r="H139" s="52"/>
      <c r="I139" s="52"/>
      <c r="J139" s="34">
        <f t="shared" si="12"/>
        <v>2.34</v>
      </c>
      <c r="K139" s="52">
        <v>2.34</v>
      </c>
      <c r="L139" s="52"/>
      <c r="M139" s="52"/>
      <c r="N139" s="34">
        <f t="shared" si="12"/>
        <v>2.34</v>
      </c>
      <c r="O139" s="52">
        <v>2.34</v>
      </c>
      <c r="P139" s="52"/>
      <c r="Q139" s="52"/>
      <c r="R139" s="34">
        <f t="shared" si="13"/>
        <v>2.34</v>
      </c>
      <c r="S139" s="35" t="s">
        <v>27</v>
      </c>
      <c r="T139" s="34">
        <f t="shared" si="14"/>
        <v>0.3</v>
      </c>
      <c r="U139" s="35" t="s">
        <v>27</v>
      </c>
      <c r="V139" s="34">
        <f t="shared" si="15"/>
        <v>0.3</v>
      </c>
      <c r="W139" s="35" t="s">
        <v>27</v>
      </c>
      <c r="X139" s="34">
        <f t="shared" si="16"/>
        <v>0.3</v>
      </c>
      <c r="Y139" s="36">
        <f t="shared" si="17"/>
        <v>4928040</v>
      </c>
      <c r="Z139" s="37" t="s">
        <v>563</v>
      </c>
    </row>
    <row r="140" spans="1:26" ht="28.5" x14ac:dyDescent="0.25">
      <c r="A140" s="1" t="s">
        <v>22</v>
      </c>
      <c r="B140" s="15" t="s">
        <v>23</v>
      </c>
      <c r="C140" s="28" t="s">
        <v>165</v>
      </c>
      <c r="D140" s="29">
        <f>MAX($D$8:D139)+1</f>
        <v>126</v>
      </c>
      <c r="E140" s="80" t="s">
        <v>173</v>
      </c>
      <c r="F140" s="47">
        <v>8803379224</v>
      </c>
      <c r="G140" s="93">
        <v>2.67</v>
      </c>
      <c r="H140" s="93"/>
      <c r="I140" s="93"/>
      <c r="J140" s="34">
        <f t="shared" si="12"/>
        <v>2.67</v>
      </c>
      <c r="K140" s="93">
        <v>2.67</v>
      </c>
      <c r="L140" s="93"/>
      <c r="M140" s="93"/>
      <c r="N140" s="34">
        <f t="shared" si="12"/>
        <v>2.67</v>
      </c>
      <c r="O140" s="93">
        <v>2.67</v>
      </c>
      <c r="P140" s="93"/>
      <c r="Q140" s="93"/>
      <c r="R140" s="34">
        <f t="shared" si="13"/>
        <v>2.67</v>
      </c>
      <c r="S140" s="35" t="s">
        <v>77</v>
      </c>
      <c r="T140" s="34">
        <f t="shared" si="14"/>
        <v>0</v>
      </c>
      <c r="U140" s="35" t="s">
        <v>77</v>
      </c>
      <c r="V140" s="34">
        <f t="shared" si="15"/>
        <v>0</v>
      </c>
      <c r="W140" s="35" t="s">
        <v>27</v>
      </c>
      <c r="X140" s="34">
        <f t="shared" si="16"/>
        <v>0.3</v>
      </c>
      <c r="Y140" s="36">
        <f t="shared" si="17"/>
        <v>1874339.9999999998</v>
      </c>
      <c r="Z140" s="37" t="s">
        <v>564</v>
      </c>
    </row>
    <row r="141" spans="1:26" ht="28.5" x14ac:dyDescent="0.25">
      <c r="A141" s="1" t="s">
        <v>22</v>
      </c>
      <c r="B141" s="15" t="s">
        <v>23</v>
      </c>
      <c r="C141" s="28" t="s">
        <v>165</v>
      </c>
      <c r="D141" s="29">
        <f>MAX($D$8:D140)+1</f>
        <v>127</v>
      </c>
      <c r="E141" s="80" t="s">
        <v>174</v>
      </c>
      <c r="F141" s="47">
        <v>5624629528</v>
      </c>
      <c r="G141" s="93">
        <v>2.34</v>
      </c>
      <c r="H141" s="93"/>
      <c r="I141" s="93"/>
      <c r="J141" s="34">
        <f t="shared" si="12"/>
        <v>2.34</v>
      </c>
      <c r="K141" s="93">
        <v>2.34</v>
      </c>
      <c r="L141" s="93"/>
      <c r="M141" s="93"/>
      <c r="N141" s="34">
        <f t="shared" si="12"/>
        <v>2.34</v>
      </c>
      <c r="O141" s="93">
        <v>2.34</v>
      </c>
      <c r="P141" s="93"/>
      <c r="Q141" s="93"/>
      <c r="R141" s="34">
        <f t="shared" si="13"/>
        <v>2.34</v>
      </c>
      <c r="S141" s="35" t="s">
        <v>27</v>
      </c>
      <c r="T141" s="34">
        <f t="shared" si="14"/>
        <v>0.3</v>
      </c>
      <c r="U141" s="35" t="s">
        <v>27</v>
      </c>
      <c r="V141" s="34">
        <f t="shared" si="15"/>
        <v>0.3</v>
      </c>
      <c r="W141" s="35" t="s">
        <v>27</v>
      </c>
      <c r="X141" s="34">
        <f t="shared" si="16"/>
        <v>0.3</v>
      </c>
      <c r="Y141" s="36">
        <f t="shared" si="17"/>
        <v>4928040</v>
      </c>
      <c r="Z141" s="37" t="s">
        <v>565</v>
      </c>
    </row>
    <row r="142" spans="1:26" ht="28.5" x14ac:dyDescent="0.25">
      <c r="A142" s="1" t="s">
        <v>22</v>
      </c>
      <c r="B142" s="15" t="s">
        <v>23</v>
      </c>
      <c r="C142" s="28" t="s">
        <v>165</v>
      </c>
      <c r="D142" s="29">
        <f>MAX($D$8:D141)+1</f>
        <v>128</v>
      </c>
      <c r="E142" s="62" t="s">
        <v>175</v>
      </c>
      <c r="F142" s="47">
        <v>5623454958</v>
      </c>
      <c r="G142" s="52">
        <v>3.03</v>
      </c>
      <c r="H142" s="52"/>
      <c r="I142" s="52"/>
      <c r="J142" s="34">
        <f t="shared" si="12"/>
        <v>3.03</v>
      </c>
      <c r="K142" s="52">
        <v>3.03</v>
      </c>
      <c r="L142" s="52"/>
      <c r="M142" s="52"/>
      <c r="N142" s="34">
        <f t="shared" si="12"/>
        <v>3.03</v>
      </c>
      <c r="O142" s="52">
        <v>3.03</v>
      </c>
      <c r="P142" s="52"/>
      <c r="Q142" s="52"/>
      <c r="R142" s="34">
        <f t="shared" si="13"/>
        <v>3.03</v>
      </c>
      <c r="S142" s="35" t="s">
        <v>27</v>
      </c>
      <c r="T142" s="34">
        <f t="shared" si="14"/>
        <v>0.3</v>
      </c>
      <c r="U142" s="35" t="s">
        <v>27</v>
      </c>
      <c r="V142" s="34">
        <f t="shared" si="15"/>
        <v>0.3</v>
      </c>
      <c r="W142" s="35" t="s">
        <v>27</v>
      </c>
      <c r="X142" s="34">
        <f t="shared" si="16"/>
        <v>0.3</v>
      </c>
      <c r="Y142" s="36">
        <f t="shared" si="17"/>
        <v>6381180</v>
      </c>
      <c r="Z142" s="37" t="s">
        <v>566</v>
      </c>
    </row>
    <row r="143" spans="1:26" ht="28.5" x14ac:dyDescent="0.25">
      <c r="A143" s="1" t="s">
        <v>22</v>
      </c>
      <c r="B143" s="15" t="s">
        <v>23</v>
      </c>
      <c r="C143" s="28" t="s">
        <v>165</v>
      </c>
      <c r="D143" s="29">
        <f>MAX($D$8:D142)+1</f>
        <v>129</v>
      </c>
      <c r="E143" s="64" t="s">
        <v>176</v>
      </c>
      <c r="F143" s="54">
        <v>5601958557</v>
      </c>
      <c r="G143" s="32">
        <v>2.67</v>
      </c>
      <c r="H143" s="32"/>
      <c r="I143" s="32"/>
      <c r="J143" s="34">
        <f t="shared" si="12"/>
        <v>2.67</v>
      </c>
      <c r="K143" s="32">
        <v>2.67</v>
      </c>
      <c r="L143" s="32"/>
      <c r="M143" s="32"/>
      <c r="N143" s="34">
        <f t="shared" si="12"/>
        <v>2.67</v>
      </c>
      <c r="O143" s="32">
        <v>2.67</v>
      </c>
      <c r="P143" s="32"/>
      <c r="Q143" s="32"/>
      <c r="R143" s="34">
        <f t="shared" si="13"/>
        <v>2.67</v>
      </c>
      <c r="S143" s="35" t="s">
        <v>27</v>
      </c>
      <c r="T143" s="34">
        <f t="shared" si="14"/>
        <v>0.3</v>
      </c>
      <c r="U143" s="35" t="s">
        <v>27</v>
      </c>
      <c r="V143" s="34">
        <f t="shared" si="15"/>
        <v>0.3</v>
      </c>
      <c r="W143" s="35" t="s">
        <v>27</v>
      </c>
      <c r="X143" s="34">
        <f t="shared" si="16"/>
        <v>0.3</v>
      </c>
      <c r="Y143" s="36">
        <f t="shared" si="17"/>
        <v>5623019.9999999991</v>
      </c>
      <c r="Z143" s="37" t="s">
        <v>567</v>
      </c>
    </row>
    <row r="144" spans="1:26" ht="28.5" x14ac:dyDescent="0.25">
      <c r="A144" s="1" t="s">
        <v>22</v>
      </c>
      <c r="B144" s="15" t="s">
        <v>23</v>
      </c>
      <c r="C144" s="28" t="s">
        <v>165</v>
      </c>
      <c r="D144" s="29">
        <f>MAX($D$8:D143)+1</f>
        <v>130</v>
      </c>
      <c r="E144" s="30" t="s">
        <v>177</v>
      </c>
      <c r="F144" s="31">
        <v>5611309657</v>
      </c>
      <c r="G144" s="32">
        <v>2.67</v>
      </c>
      <c r="H144" s="32"/>
      <c r="I144" s="32"/>
      <c r="J144" s="34">
        <f t="shared" si="12"/>
        <v>2.67</v>
      </c>
      <c r="K144" s="32">
        <v>2.67</v>
      </c>
      <c r="L144" s="32"/>
      <c r="M144" s="32"/>
      <c r="N144" s="34">
        <f t="shared" si="12"/>
        <v>2.67</v>
      </c>
      <c r="O144" s="32">
        <v>2.67</v>
      </c>
      <c r="P144" s="32"/>
      <c r="Q144" s="32"/>
      <c r="R144" s="34">
        <f t="shared" si="13"/>
        <v>2.67</v>
      </c>
      <c r="S144" s="35" t="s">
        <v>27</v>
      </c>
      <c r="T144" s="34">
        <f t="shared" si="14"/>
        <v>0.3</v>
      </c>
      <c r="U144" s="35" t="s">
        <v>27</v>
      </c>
      <c r="V144" s="34">
        <f t="shared" si="15"/>
        <v>0.3</v>
      </c>
      <c r="W144" s="35" t="s">
        <v>27</v>
      </c>
      <c r="X144" s="34">
        <f t="shared" si="16"/>
        <v>0.3</v>
      </c>
      <c r="Y144" s="36">
        <f t="shared" si="17"/>
        <v>5623019.9999999991</v>
      </c>
      <c r="Z144" s="37" t="s">
        <v>568</v>
      </c>
    </row>
    <row r="145" spans="1:26" ht="28.5" x14ac:dyDescent="0.25">
      <c r="A145" s="1" t="s">
        <v>22</v>
      </c>
      <c r="B145" s="15" t="s">
        <v>23</v>
      </c>
      <c r="C145" s="28" t="s">
        <v>165</v>
      </c>
      <c r="D145" s="29">
        <f>MAX($D$8:D144)+1</f>
        <v>131</v>
      </c>
      <c r="E145" s="64" t="s">
        <v>178</v>
      </c>
      <c r="F145" s="31">
        <v>5610241507</v>
      </c>
      <c r="G145" s="32">
        <v>3.66</v>
      </c>
      <c r="H145" s="32"/>
      <c r="I145" s="32"/>
      <c r="J145" s="34">
        <f t="shared" si="12"/>
        <v>3.66</v>
      </c>
      <c r="K145" s="32">
        <v>3.66</v>
      </c>
      <c r="L145" s="32"/>
      <c r="M145" s="32"/>
      <c r="N145" s="34">
        <f t="shared" si="12"/>
        <v>3.66</v>
      </c>
      <c r="O145" s="32">
        <v>3.66</v>
      </c>
      <c r="P145" s="32"/>
      <c r="Q145" s="32"/>
      <c r="R145" s="34">
        <f t="shared" si="13"/>
        <v>3.66</v>
      </c>
      <c r="S145" s="35" t="s">
        <v>27</v>
      </c>
      <c r="T145" s="34">
        <f t="shared" si="14"/>
        <v>0.3</v>
      </c>
      <c r="U145" s="35" t="s">
        <v>27</v>
      </c>
      <c r="V145" s="34">
        <f t="shared" si="15"/>
        <v>0.3</v>
      </c>
      <c r="W145" s="35" t="s">
        <v>27</v>
      </c>
      <c r="X145" s="34">
        <f t="shared" si="16"/>
        <v>0.3</v>
      </c>
      <c r="Y145" s="36">
        <f t="shared" si="17"/>
        <v>7707960.0000000009</v>
      </c>
      <c r="Z145" s="37" t="s">
        <v>569</v>
      </c>
    </row>
    <row r="146" spans="1:26" ht="28.5" x14ac:dyDescent="0.25">
      <c r="A146" s="1" t="s">
        <v>22</v>
      </c>
      <c r="B146" s="15" t="s">
        <v>23</v>
      </c>
      <c r="C146" s="28" t="s">
        <v>165</v>
      </c>
      <c r="D146" s="29">
        <f>MAX($D$8:D145)+1</f>
        <v>132</v>
      </c>
      <c r="E146" s="64" t="s">
        <v>179</v>
      </c>
      <c r="F146" s="31">
        <v>5610559495</v>
      </c>
      <c r="G146" s="32">
        <v>3.34</v>
      </c>
      <c r="H146" s="32"/>
      <c r="I146" s="32"/>
      <c r="J146" s="34">
        <f t="shared" si="12"/>
        <v>3.34</v>
      </c>
      <c r="K146" s="32">
        <v>3.34</v>
      </c>
      <c r="L146" s="32"/>
      <c r="M146" s="32"/>
      <c r="N146" s="34">
        <f t="shared" si="12"/>
        <v>3.34</v>
      </c>
      <c r="O146" s="32">
        <v>3.34</v>
      </c>
      <c r="P146" s="32"/>
      <c r="Q146" s="32"/>
      <c r="R146" s="34">
        <f t="shared" si="13"/>
        <v>3.34</v>
      </c>
      <c r="S146" s="35" t="s">
        <v>27</v>
      </c>
      <c r="T146" s="34">
        <f t="shared" si="14"/>
        <v>0.3</v>
      </c>
      <c r="U146" s="35" t="s">
        <v>27</v>
      </c>
      <c r="V146" s="34">
        <f t="shared" si="15"/>
        <v>0.3</v>
      </c>
      <c r="W146" s="35" t="s">
        <v>27</v>
      </c>
      <c r="X146" s="34">
        <f t="shared" si="16"/>
        <v>0.3</v>
      </c>
      <c r="Y146" s="36">
        <f t="shared" si="17"/>
        <v>7034040.0000000009</v>
      </c>
      <c r="Z146" s="37" t="s">
        <v>570</v>
      </c>
    </row>
    <row r="147" spans="1:26" x14ac:dyDescent="0.25">
      <c r="B147" s="15"/>
      <c r="C147" s="28"/>
      <c r="D147" s="29" t="s">
        <v>20</v>
      </c>
      <c r="E147" s="44" t="s">
        <v>180</v>
      </c>
      <c r="F147" s="31"/>
      <c r="G147" s="32"/>
      <c r="H147" s="32"/>
      <c r="I147" s="32"/>
      <c r="J147" s="34"/>
      <c r="K147" s="32"/>
      <c r="L147" s="32"/>
      <c r="M147" s="32"/>
      <c r="N147" s="34"/>
      <c r="O147" s="32"/>
      <c r="P147" s="32"/>
      <c r="Q147" s="32"/>
      <c r="R147" s="34"/>
      <c r="S147" s="35"/>
      <c r="T147" s="34"/>
      <c r="U147" s="35"/>
      <c r="V147" s="34"/>
      <c r="W147" s="35"/>
      <c r="X147" s="34"/>
      <c r="Y147" s="36"/>
      <c r="Z147" s="37"/>
    </row>
    <row r="148" spans="1:26" ht="28.5" x14ac:dyDescent="0.25">
      <c r="A148" s="1" t="s">
        <v>22</v>
      </c>
      <c r="B148" s="15" t="s">
        <v>23</v>
      </c>
      <c r="C148" s="28" t="s">
        <v>181</v>
      </c>
      <c r="D148" s="29">
        <f>MAX($D$8:D147)+1</f>
        <v>133</v>
      </c>
      <c r="E148" s="70" t="s">
        <v>182</v>
      </c>
      <c r="F148" s="47">
        <v>8893369416</v>
      </c>
      <c r="G148" s="51">
        <v>4.9800000000000004</v>
      </c>
      <c r="H148" s="51"/>
      <c r="I148" s="34">
        <v>0.5</v>
      </c>
      <c r="J148" s="34">
        <f t="shared" si="12"/>
        <v>5.48</v>
      </c>
      <c r="K148" s="52">
        <v>4.9800000000000004</v>
      </c>
      <c r="L148" s="52"/>
      <c r="M148" s="34">
        <v>0.5</v>
      </c>
      <c r="N148" s="34">
        <f t="shared" si="12"/>
        <v>5.48</v>
      </c>
      <c r="O148" s="52">
        <v>4.9800000000000004</v>
      </c>
      <c r="P148" s="52"/>
      <c r="Q148" s="34">
        <v>0.5</v>
      </c>
      <c r="R148" s="34">
        <f t="shared" si="13"/>
        <v>5.48</v>
      </c>
      <c r="S148" s="35" t="s">
        <v>27</v>
      </c>
      <c r="T148" s="34">
        <f t="shared" si="14"/>
        <v>0.3</v>
      </c>
      <c r="U148" s="35" t="s">
        <v>27</v>
      </c>
      <c r="V148" s="34">
        <f t="shared" si="15"/>
        <v>0.3</v>
      </c>
      <c r="W148" s="35" t="s">
        <v>27</v>
      </c>
      <c r="X148" s="34">
        <f t="shared" si="16"/>
        <v>0.3</v>
      </c>
      <c r="Y148" s="36">
        <f t="shared" si="17"/>
        <v>11540880</v>
      </c>
      <c r="Z148" s="37" t="s">
        <v>571</v>
      </c>
    </row>
    <row r="149" spans="1:26" ht="28.5" x14ac:dyDescent="0.25">
      <c r="A149" s="1" t="s">
        <v>22</v>
      </c>
      <c r="B149" s="15" t="s">
        <v>23</v>
      </c>
      <c r="C149" s="28" t="s">
        <v>181</v>
      </c>
      <c r="D149" s="29">
        <f>MAX($D$8:D148)+1</f>
        <v>134</v>
      </c>
      <c r="E149" s="70" t="s">
        <v>183</v>
      </c>
      <c r="F149" s="47">
        <v>8803369412</v>
      </c>
      <c r="G149" s="52">
        <v>2.34</v>
      </c>
      <c r="H149" s="52"/>
      <c r="I149" s="34"/>
      <c r="J149" s="34">
        <f t="shared" si="12"/>
        <v>2.34</v>
      </c>
      <c r="K149" s="52">
        <v>2.34</v>
      </c>
      <c r="L149" s="52"/>
      <c r="M149" s="34"/>
      <c r="N149" s="34">
        <f t="shared" si="12"/>
        <v>2.34</v>
      </c>
      <c r="O149" s="52">
        <v>2.34</v>
      </c>
      <c r="P149" s="52"/>
      <c r="Q149" s="34"/>
      <c r="R149" s="34">
        <f t="shared" si="13"/>
        <v>2.34</v>
      </c>
      <c r="S149" s="35" t="s">
        <v>27</v>
      </c>
      <c r="T149" s="34">
        <f t="shared" si="14"/>
        <v>0.3</v>
      </c>
      <c r="U149" s="35" t="s">
        <v>27</v>
      </c>
      <c r="V149" s="34">
        <f t="shared" si="15"/>
        <v>0.3</v>
      </c>
      <c r="W149" s="35" t="s">
        <v>27</v>
      </c>
      <c r="X149" s="34">
        <f t="shared" si="16"/>
        <v>0.3</v>
      </c>
      <c r="Y149" s="36">
        <f t="shared" si="17"/>
        <v>4928040</v>
      </c>
      <c r="Z149" s="37" t="s">
        <v>572</v>
      </c>
    </row>
    <row r="150" spans="1:26" ht="28.5" x14ac:dyDescent="0.25">
      <c r="A150" s="1" t="s">
        <v>22</v>
      </c>
      <c r="B150" s="15" t="s">
        <v>23</v>
      </c>
      <c r="C150" s="28" t="s">
        <v>181</v>
      </c>
      <c r="D150" s="29">
        <f>MAX($D$8:D149)+1</f>
        <v>135</v>
      </c>
      <c r="E150" s="76" t="s">
        <v>184</v>
      </c>
      <c r="F150" s="47">
        <v>8853369414</v>
      </c>
      <c r="G150" s="52">
        <v>3.33</v>
      </c>
      <c r="H150" s="52"/>
      <c r="I150" s="34">
        <v>0.5</v>
      </c>
      <c r="J150" s="34">
        <f t="shared" si="12"/>
        <v>3.83</v>
      </c>
      <c r="K150" s="52">
        <v>3.33</v>
      </c>
      <c r="L150" s="52"/>
      <c r="M150" s="34">
        <v>0.5</v>
      </c>
      <c r="N150" s="34">
        <f t="shared" si="12"/>
        <v>3.83</v>
      </c>
      <c r="O150" s="52">
        <v>3.33</v>
      </c>
      <c r="P150" s="52"/>
      <c r="Q150" s="34">
        <v>0.5</v>
      </c>
      <c r="R150" s="34">
        <f t="shared" si="13"/>
        <v>3.83</v>
      </c>
      <c r="S150" s="35" t="s">
        <v>27</v>
      </c>
      <c r="T150" s="34">
        <f t="shared" si="14"/>
        <v>0.3</v>
      </c>
      <c r="U150" s="35" t="s">
        <v>27</v>
      </c>
      <c r="V150" s="34">
        <f t="shared" si="15"/>
        <v>0.3</v>
      </c>
      <c r="W150" s="35" t="s">
        <v>27</v>
      </c>
      <c r="X150" s="34">
        <f t="shared" si="16"/>
        <v>0.3</v>
      </c>
      <c r="Y150" s="36">
        <f t="shared" si="17"/>
        <v>8065980</v>
      </c>
      <c r="Z150" s="37" t="s">
        <v>573</v>
      </c>
    </row>
    <row r="151" spans="1:26" ht="28.5" x14ac:dyDescent="0.25">
      <c r="A151" s="1" t="s">
        <v>22</v>
      </c>
      <c r="B151" s="15" t="s">
        <v>23</v>
      </c>
      <c r="C151" s="28" t="s">
        <v>181</v>
      </c>
      <c r="D151" s="29">
        <f>MAX($D$8:D150)+1</f>
        <v>136</v>
      </c>
      <c r="E151" s="76" t="s">
        <v>185</v>
      </c>
      <c r="F151" s="99">
        <v>5622084264</v>
      </c>
      <c r="G151" s="52">
        <v>3</v>
      </c>
      <c r="H151" s="52"/>
      <c r="I151" s="34"/>
      <c r="J151" s="34">
        <f t="shared" si="12"/>
        <v>3</v>
      </c>
      <c r="K151" s="52">
        <v>3</v>
      </c>
      <c r="L151" s="52"/>
      <c r="M151" s="34"/>
      <c r="N151" s="34">
        <f t="shared" si="12"/>
        <v>3</v>
      </c>
      <c r="O151" s="52">
        <v>3</v>
      </c>
      <c r="P151" s="52"/>
      <c r="Q151" s="34"/>
      <c r="R151" s="34">
        <f t="shared" si="13"/>
        <v>3</v>
      </c>
      <c r="S151" s="35" t="s">
        <v>27</v>
      </c>
      <c r="T151" s="34">
        <f t="shared" si="14"/>
        <v>0.3</v>
      </c>
      <c r="U151" s="35" t="s">
        <v>27</v>
      </c>
      <c r="V151" s="34">
        <f t="shared" si="15"/>
        <v>0.3</v>
      </c>
      <c r="W151" s="35" t="s">
        <v>27</v>
      </c>
      <c r="X151" s="34">
        <f t="shared" si="16"/>
        <v>0.3</v>
      </c>
      <c r="Y151" s="36">
        <f t="shared" si="17"/>
        <v>6317999.9999999991</v>
      </c>
      <c r="Z151" s="37" t="s">
        <v>574</v>
      </c>
    </row>
    <row r="152" spans="1:26" ht="28.5" x14ac:dyDescent="0.25">
      <c r="A152" s="1" t="s">
        <v>22</v>
      </c>
      <c r="B152" s="15" t="s">
        <v>23</v>
      </c>
      <c r="C152" s="28" t="s">
        <v>181</v>
      </c>
      <c r="D152" s="29">
        <f>MAX($D$8:D151)+1</f>
        <v>137</v>
      </c>
      <c r="E152" s="64" t="s">
        <v>186</v>
      </c>
      <c r="F152" s="31">
        <v>8831057555</v>
      </c>
      <c r="G152" s="32">
        <v>4.32</v>
      </c>
      <c r="H152" s="32"/>
      <c r="I152" s="34">
        <v>0.6</v>
      </c>
      <c r="J152" s="34">
        <f t="shared" si="12"/>
        <v>4.92</v>
      </c>
      <c r="K152" s="32">
        <v>4.32</v>
      </c>
      <c r="L152" s="32"/>
      <c r="M152" s="34">
        <v>0.6</v>
      </c>
      <c r="N152" s="34">
        <f t="shared" si="12"/>
        <v>4.92</v>
      </c>
      <c r="O152" s="32">
        <v>4.32</v>
      </c>
      <c r="P152" s="32"/>
      <c r="Q152" s="34">
        <v>0.6</v>
      </c>
      <c r="R152" s="34">
        <f t="shared" si="13"/>
        <v>4.92</v>
      </c>
      <c r="S152" s="35" t="s">
        <v>27</v>
      </c>
      <c r="T152" s="34">
        <f t="shared" si="14"/>
        <v>0.3</v>
      </c>
      <c r="U152" s="35" t="s">
        <v>27</v>
      </c>
      <c r="V152" s="34">
        <f t="shared" si="15"/>
        <v>0.3</v>
      </c>
      <c r="W152" s="35" t="s">
        <v>27</v>
      </c>
      <c r="X152" s="34">
        <f t="shared" si="16"/>
        <v>0.3</v>
      </c>
      <c r="Y152" s="36">
        <f t="shared" si="17"/>
        <v>10361520</v>
      </c>
      <c r="Z152" s="37" t="s">
        <v>575</v>
      </c>
    </row>
    <row r="153" spans="1:26" ht="28.5" x14ac:dyDescent="0.25">
      <c r="A153" s="1" t="s">
        <v>22</v>
      </c>
      <c r="B153" s="15" t="s">
        <v>23</v>
      </c>
      <c r="C153" s="28" t="s">
        <v>181</v>
      </c>
      <c r="D153" s="29">
        <f>MAX($D$8:D152)+1</f>
        <v>138</v>
      </c>
      <c r="E153" s="64" t="s">
        <v>187</v>
      </c>
      <c r="F153" s="31">
        <v>5610226188</v>
      </c>
      <c r="G153" s="32">
        <v>4.32</v>
      </c>
      <c r="H153" s="32"/>
      <c r="I153" s="34">
        <v>0.5</v>
      </c>
      <c r="J153" s="34">
        <f t="shared" si="12"/>
        <v>4.82</v>
      </c>
      <c r="K153" s="32">
        <v>4.32</v>
      </c>
      <c r="L153" s="32"/>
      <c r="M153" s="34">
        <v>0.5</v>
      </c>
      <c r="N153" s="34">
        <f t="shared" si="12"/>
        <v>4.82</v>
      </c>
      <c r="O153" s="32">
        <v>4.32</v>
      </c>
      <c r="P153" s="32"/>
      <c r="Q153" s="34">
        <v>0.5</v>
      </c>
      <c r="R153" s="34">
        <f t="shared" si="13"/>
        <v>4.82</v>
      </c>
      <c r="S153" s="35" t="s">
        <v>27</v>
      </c>
      <c r="T153" s="34">
        <f t="shared" si="14"/>
        <v>0.3</v>
      </c>
      <c r="U153" s="35" t="s">
        <v>27</v>
      </c>
      <c r="V153" s="34">
        <f t="shared" si="15"/>
        <v>0.3</v>
      </c>
      <c r="W153" s="35" t="s">
        <v>27</v>
      </c>
      <c r="X153" s="34">
        <f t="shared" si="16"/>
        <v>0.3</v>
      </c>
      <c r="Y153" s="36">
        <f t="shared" si="17"/>
        <v>10150920</v>
      </c>
      <c r="Z153" s="37" t="s">
        <v>576</v>
      </c>
    </row>
    <row r="154" spans="1:26" ht="28.5" x14ac:dyDescent="0.25">
      <c r="A154" s="1" t="s">
        <v>22</v>
      </c>
      <c r="B154" s="15" t="s">
        <v>23</v>
      </c>
      <c r="C154" s="28" t="s">
        <v>181</v>
      </c>
      <c r="D154" s="29">
        <f>MAX($D$8:D153)+1</f>
        <v>139</v>
      </c>
      <c r="E154" s="64" t="s">
        <v>188</v>
      </c>
      <c r="F154" s="31">
        <v>5611151131</v>
      </c>
      <c r="G154" s="32">
        <v>3.99</v>
      </c>
      <c r="H154" s="32"/>
      <c r="I154" s="32"/>
      <c r="J154" s="34">
        <f t="shared" si="12"/>
        <v>3.99</v>
      </c>
      <c r="K154" s="32">
        <v>3.99</v>
      </c>
      <c r="L154" s="32"/>
      <c r="M154" s="32"/>
      <c r="N154" s="34">
        <f t="shared" si="12"/>
        <v>3.99</v>
      </c>
      <c r="O154" s="32">
        <v>3.99</v>
      </c>
      <c r="P154" s="32"/>
      <c r="Q154" s="32"/>
      <c r="R154" s="34">
        <f t="shared" si="13"/>
        <v>3.99</v>
      </c>
      <c r="S154" s="35" t="s">
        <v>27</v>
      </c>
      <c r="T154" s="34">
        <f t="shared" si="14"/>
        <v>0.3</v>
      </c>
      <c r="U154" s="35" t="s">
        <v>27</v>
      </c>
      <c r="V154" s="34">
        <f t="shared" si="15"/>
        <v>0.3</v>
      </c>
      <c r="W154" s="35" t="s">
        <v>27</v>
      </c>
      <c r="X154" s="34">
        <f t="shared" si="16"/>
        <v>0.3</v>
      </c>
      <c r="Y154" s="36">
        <f t="shared" si="17"/>
        <v>8402940</v>
      </c>
      <c r="Z154" s="37" t="s">
        <v>577</v>
      </c>
    </row>
    <row r="155" spans="1:26" ht="28.5" x14ac:dyDescent="0.25">
      <c r="A155" s="1" t="s">
        <v>22</v>
      </c>
      <c r="B155" s="15" t="s">
        <v>23</v>
      </c>
      <c r="C155" s="28" t="s">
        <v>181</v>
      </c>
      <c r="D155" s="29">
        <f>MAX($D$8:D154)+1</f>
        <v>140</v>
      </c>
      <c r="E155" s="64" t="s">
        <v>189</v>
      </c>
      <c r="F155" s="31">
        <v>5610702952</v>
      </c>
      <c r="G155" s="32">
        <v>3.33</v>
      </c>
      <c r="H155" s="32"/>
      <c r="I155" s="32"/>
      <c r="J155" s="34">
        <f t="shared" si="12"/>
        <v>3.33</v>
      </c>
      <c r="K155" s="32">
        <v>3.33</v>
      </c>
      <c r="L155" s="32"/>
      <c r="M155" s="32"/>
      <c r="N155" s="34">
        <f t="shared" si="12"/>
        <v>3.33</v>
      </c>
      <c r="O155" s="32">
        <v>3.33</v>
      </c>
      <c r="P155" s="32"/>
      <c r="Q155" s="32"/>
      <c r="R155" s="34">
        <f t="shared" si="13"/>
        <v>3.33</v>
      </c>
      <c r="S155" s="35" t="s">
        <v>27</v>
      </c>
      <c r="T155" s="34">
        <f t="shared" si="14"/>
        <v>0.3</v>
      </c>
      <c r="U155" s="35" t="s">
        <v>27</v>
      </c>
      <c r="V155" s="34">
        <f t="shared" si="15"/>
        <v>0.3</v>
      </c>
      <c r="W155" s="35" t="s">
        <v>27</v>
      </c>
      <c r="X155" s="34">
        <f t="shared" si="16"/>
        <v>0.3</v>
      </c>
      <c r="Y155" s="36">
        <f t="shared" si="17"/>
        <v>7012980</v>
      </c>
      <c r="Z155" s="37" t="s">
        <v>578</v>
      </c>
    </row>
    <row r="156" spans="1:26" ht="28.5" x14ac:dyDescent="0.25">
      <c r="A156" s="1" t="s">
        <v>22</v>
      </c>
      <c r="B156" s="15" t="s">
        <v>23</v>
      </c>
      <c r="C156" s="28" t="s">
        <v>181</v>
      </c>
      <c r="D156" s="29">
        <f>MAX($D$8:D155)+1</f>
        <v>141</v>
      </c>
      <c r="E156" s="30" t="s">
        <v>190</v>
      </c>
      <c r="F156" s="31">
        <v>5611148133</v>
      </c>
      <c r="G156" s="32">
        <v>3</v>
      </c>
      <c r="H156" s="32"/>
      <c r="I156" s="32"/>
      <c r="J156" s="34">
        <f t="shared" si="12"/>
        <v>3</v>
      </c>
      <c r="K156" s="32">
        <v>3</v>
      </c>
      <c r="L156" s="32"/>
      <c r="M156" s="32"/>
      <c r="N156" s="34">
        <f t="shared" si="12"/>
        <v>3</v>
      </c>
      <c r="O156" s="32">
        <v>3</v>
      </c>
      <c r="P156" s="32"/>
      <c r="Q156" s="32"/>
      <c r="R156" s="34">
        <f t="shared" si="13"/>
        <v>3</v>
      </c>
      <c r="S156" s="35" t="s">
        <v>27</v>
      </c>
      <c r="T156" s="34">
        <f t="shared" si="14"/>
        <v>0.3</v>
      </c>
      <c r="U156" s="35" t="s">
        <v>27</v>
      </c>
      <c r="V156" s="34">
        <f t="shared" si="15"/>
        <v>0.3</v>
      </c>
      <c r="W156" s="35" t="s">
        <v>27</v>
      </c>
      <c r="X156" s="34">
        <f t="shared" si="16"/>
        <v>0.3</v>
      </c>
      <c r="Y156" s="36">
        <f t="shared" si="17"/>
        <v>6317999.9999999991</v>
      </c>
      <c r="Z156" s="37" t="s">
        <v>579</v>
      </c>
    </row>
    <row r="157" spans="1:26" ht="28.5" x14ac:dyDescent="0.25">
      <c r="A157" s="1" t="s">
        <v>22</v>
      </c>
      <c r="B157" s="15" t="s">
        <v>23</v>
      </c>
      <c r="C157" s="28" t="s">
        <v>181</v>
      </c>
      <c r="D157" s="29">
        <f>MAX($D$8:D156)+1</f>
        <v>142</v>
      </c>
      <c r="E157" s="30" t="s">
        <v>191</v>
      </c>
      <c r="F157" s="31">
        <v>5611151061</v>
      </c>
      <c r="G157" s="32">
        <v>2.46</v>
      </c>
      <c r="H157" s="32"/>
      <c r="I157" s="32"/>
      <c r="J157" s="34">
        <f t="shared" si="12"/>
        <v>2.46</v>
      </c>
      <c r="K157" s="32">
        <v>2.46</v>
      </c>
      <c r="L157" s="32"/>
      <c r="M157" s="32"/>
      <c r="N157" s="34">
        <f t="shared" si="12"/>
        <v>2.46</v>
      </c>
      <c r="O157" s="61">
        <v>2.66</v>
      </c>
      <c r="P157" s="61"/>
      <c r="Q157" s="61"/>
      <c r="R157" s="34">
        <f t="shared" si="13"/>
        <v>2.66</v>
      </c>
      <c r="S157" s="35" t="s">
        <v>77</v>
      </c>
      <c r="T157" s="34">
        <f t="shared" si="14"/>
        <v>0</v>
      </c>
      <c r="U157" s="35" t="s">
        <v>77</v>
      </c>
      <c r="V157" s="34">
        <f t="shared" si="15"/>
        <v>0</v>
      </c>
      <c r="W157" s="35" t="s">
        <v>77</v>
      </c>
      <c r="X157" s="34">
        <f t="shared" si="16"/>
        <v>0</v>
      </c>
      <c r="Y157" s="36">
        <f t="shared" si="17"/>
        <v>0</v>
      </c>
      <c r="Z157" s="37" t="s">
        <v>580</v>
      </c>
    </row>
    <row r="158" spans="1:26" ht="28.5" x14ac:dyDescent="0.25">
      <c r="A158" s="1" t="s">
        <v>22</v>
      </c>
      <c r="B158" s="15" t="s">
        <v>23</v>
      </c>
      <c r="C158" s="28" t="s">
        <v>181</v>
      </c>
      <c r="D158" s="29">
        <f>MAX($D$8:D157)+1</f>
        <v>143</v>
      </c>
      <c r="E158" s="64" t="s">
        <v>192</v>
      </c>
      <c r="F158" s="31">
        <v>5610702925</v>
      </c>
      <c r="G158" s="32">
        <v>3.34</v>
      </c>
      <c r="H158" s="32"/>
      <c r="I158" s="32"/>
      <c r="J158" s="34">
        <f t="shared" si="12"/>
        <v>3.34</v>
      </c>
      <c r="K158" s="32">
        <v>3.34</v>
      </c>
      <c r="L158" s="32"/>
      <c r="M158" s="32"/>
      <c r="N158" s="34">
        <f t="shared" si="12"/>
        <v>3.34</v>
      </c>
      <c r="O158" s="32">
        <v>3.34</v>
      </c>
      <c r="P158" s="32"/>
      <c r="Q158" s="32"/>
      <c r="R158" s="34">
        <f t="shared" si="13"/>
        <v>3.34</v>
      </c>
      <c r="S158" s="35" t="s">
        <v>27</v>
      </c>
      <c r="T158" s="34">
        <f t="shared" si="14"/>
        <v>0.3</v>
      </c>
      <c r="U158" s="35" t="s">
        <v>27</v>
      </c>
      <c r="V158" s="34">
        <f t="shared" si="15"/>
        <v>0.3</v>
      </c>
      <c r="W158" s="35" t="s">
        <v>27</v>
      </c>
      <c r="X158" s="34">
        <f t="shared" si="16"/>
        <v>0.3</v>
      </c>
      <c r="Y158" s="36">
        <f t="shared" si="17"/>
        <v>7034040.0000000009</v>
      </c>
      <c r="Z158" s="37" t="s">
        <v>581</v>
      </c>
    </row>
    <row r="159" spans="1:26" x14ac:dyDescent="0.25">
      <c r="B159" s="15"/>
      <c r="C159" s="28"/>
      <c r="D159" s="29" t="s">
        <v>20</v>
      </c>
      <c r="E159" s="44" t="s">
        <v>193</v>
      </c>
      <c r="F159" s="31"/>
      <c r="G159" s="32"/>
      <c r="H159" s="32"/>
      <c r="I159" s="32"/>
      <c r="J159" s="34"/>
      <c r="K159" s="32"/>
      <c r="L159" s="32"/>
      <c r="M159" s="32"/>
      <c r="N159" s="34"/>
      <c r="O159" s="32"/>
      <c r="P159" s="32"/>
      <c r="Q159" s="32"/>
      <c r="R159" s="34"/>
      <c r="S159" s="35"/>
      <c r="T159" s="34"/>
      <c r="U159" s="35"/>
      <c r="V159" s="34"/>
      <c r="W159" s="35"/>
      <c r="X159" s="34"/>
      <c r="Y159" s="36"/>
      <c r="Z159" s="37"/>
    </row>
    <row r="160" spans="1:26" ht="28.5" x14ac:dyDescent="0.25">
      <c r="A160" s="1" t="s">
        <v>22</v>
      </c>
      <c r="B160" s="15" t="s">
        <v>23</v>
      </c>
      <c r="C160" s="28" t="s">
        <v>194</v>
      </c>
      <c r="D160" s="29">
        <f>MAX($D$8:D159)+1</f>
        <v>144</v>
      </c>
      <c r="E160" s="30" t="s">
        <v>195</v>
      </c>
      <c r="F160" s="31">
        <v>5610226735</v>
      </c>
      <c r="G160" s="32">
        <v>4.6500000000000004</v>
      </c>
      <c r="H160" s="33"/>
      <c r="I160" s="34">
        <v>0.6</v>
      </c>
      <c r="J160" s="34">
        <f t="shared" si="12"/>
        <v>5.25</v>
      </c>
      <c r="K160" s="32">
        <v>4.6500000000000004</v>
      </c>
      <c r="L160" s="33"/>
      <c r="M160" s="34">
        <v>0.6</v>
      </c>
      <c r="N160" s="34">
        <f t="shared" si="12"/>
        <v>5.25</v>
      </c>
      <c r="O160" s="32">
        <v>4.6500000000000004</v>
      </c>
      <c r="P160" s="33"/>
      <c r="Q160" s="34">
        <v>0.6</v>
      </c>
      <c r="R160" s="34">
        <f t="shared" si="13"/>
        <v>5.25</v>
      </c>
      <c r="S160" s="35" t="s">
        <v>38</v>
      </c>
      <c r="T160" s="34">
        <f t="shared" si="14"/>
        <v>0.1</v>
      </c>
      <c r="U160" s="35" t="s">
        <v>27</v>
      </c>
      <c r="V160" s="34">
        <f t="shared" si="15"/>
        <v>0.3</v>
      </c>
      <c r="W160" s="35" t="s">
        <v>27</v>
      </c>
      <c r="X160" s="34">
        <f t="shared" si="16"/>
        <v>0.3</v>
      </c>
      <c r="Y160" s="36">
        <f t="shared" si="17"/>
        <v>8599500</v>
      </c>
      <c r="Z160" s="37" t="s">
        <v>582</v>
      </c>
    </row>
    <row r="161" spans="1:26" ht="28.5" x14ac:dyDescent="0.25">
      <c r="A161" s="1" t="s">
        <v>22</v>
      </c>
      <c r="B161" s="15" t="s">
        <v>23</v>
      </c>
      <c r="C161" s="28" t="s">
        <v>194</v>
      </c>
      <c r="D161" s="29">
        <f>MAX($D$8:D160)+1</f>
        <v>145</v>
      </c>
      <c r="E161" s="30" t="s">
        <v>196</v>
      </c>
      <c r="F161" s="31">
        <v>5610228403</v>
      </c>
      <c r="G161" s="32">
        <v>3.99</v>
      </c>
      <c r="H161" s="33"/>
      <c r="I161" s="34">
        <v>0.5</v>
      </c>
      <c r="J161" s="34">
        <f t="shared" si="12"/>
        <v>4.49</v>
      </c>
      <c r="K161" s="32">
        <v>3.99</v>
      </c>
      <c r="L161" s="33"/>
      <c r="M161" s="34">
        <v>0.5</v>
      </c>
      <c r="N161" s="34">
        <f t="shared" si="12"/>
        <v>4.49</v>
      </c>
      <c r="O161" s="32">
        <v>3.99</v>
      </c>
      <c r="P161" s="33"/>
      <c r="Q161" s="34">
        <v>0.5</v>
      </c>
      <c r="R161" s="34">
        <f t="shared" si="13"/>
        <v>4.49</v>
      </c>
      <c r="S161" s="35" t="s">
        <v>27</v>
      </c>
      <c r="T161" s="34">
        <f t="shared" si="14"/>
        <v>0.3</v>
      </c>
      <c r="U161" s="35" t="s">
        <v>27</v>
      </c>
      <c r="V161" s="34">
        <f t="shared" si="15"/>
        <v>0.3</v>
      </c>
      <c r="W161" s="35" t="s">
        <v>27</v>
      </c>
      <c r="X161" s="34">
        <f t="shared" si="16"/>
        <v>0.3</v>
      </c>
      <c r="Y161" s="36">
        <f t="shared" si="17"/>
        <v>9455940</v>
      </c>
      <c r="Z161" s="37" t="s">
        <v>583</v>
      </c>
    </row>
    <row r="162" spans="1:26" ht="28.5" x14ac:dyDescent="0.25">
      <c r="A162" s="1" t="s">
        <v>22</v>
      </c>
      <c r="B162" s="15" t="s">
        <v>23</v>
      </c>
      <c r="C162" s="28" t="s">
        <v>194</v>
      </c>
      <c r="D162" s="29">
        <f>MAX($D$8:D161)+1</f>
        <v>146</v>
      </c>
      <c r="E162" s="64" t="s">
        <v>197</v>
      </c>
      <c r="F162" s="31">
        <v>5610226391</v>
      </c>
      <c r="G162" s="32">
        <v>4.9800000000000004</v>
      </c>
      <c r="H162" s="33"/>
      <c r="I162" s="34">
        <v>0.5</v>
      </c>
      <c r="J162" s="34">
        <f t="shared" si="12"/>
        <v>5.48</v>
      </c>
      <c r="K162" s="32">
        <v>4.9800000000000004</v>
      </c>
      <c r="L162" s="33"/>
      <c r="M162" s="34">
        <v>0.5</v>
      </c>
      <c r="N162" s="34">
        <f t="shared" si="12"/>
        <v>5.48</v>
      </c>
      <c r="O162" s="32">
        <v>4.9800000000000004</v>
      </c>
      <c r="P162" s="33"/>
      <c r="Q162" s="34">
        <v>0.5</v>
      </c>
      <c r="R162" s="34">
        <f t="shared" si="13"/>
        <v>5.48</v>
      </c>
      <c r="S162" s="35" t="s">
        <v>27</v>
      </c>
      <c r="T162" s="34">
        <f t="shared" si="14"/>
        <v>0.3</v>
      </c>
      <c r="U162" s="35" t="s">
        <v>27</v>
      </c>
      <c r="V162" s="34">
        <f t="shared" si="15"/>
        <v>0.3</v>
      </c>
      <c r="W162" s="35" t="s">
        <v>27</v>
      </c>
      <c r="X162" s="34">
        <f t="shared" si="16"/>
        <v>0.3</v>
      </c>
      <c r="Y162" s="36">
        <f t="shared" si="17"/>
        <v>11540880</v>
      </c>
      <c r="Z162" s="37" t="s">
        <v>584</v>
      </c>
    </row>
    <row r="163" spans="1:26" ht="28.5" x14ac:dyDescent="0.25">
      <c r="A163" s="1" t="s">
        <v>22</v>
      </c>
      <c r="B163" s="15" t="s">
        <v>23</v>
      </c>
      <c r="C163" s="28" t="s">
        <v>194</v>
      </c>
      <c r="D163" s="29">
        <f>MAX($D$8:D162)+1</f>
        <v>147</v>
      </c>
      <c r="E163" s="64" t="s">
        <v>198</v>
      </c>
      <c r="F163" s="31">
        <v>5610343397</v>
      </c>
      <c r="G163" s="32">
        <v>3.72</v>
      </c>
      <c r="H163" s="33"/>
      <c r="I163" s="34"/>
      <c r="J163" s="34">
        <f t="shared" si="12"/>
        <v>3.72</v>
      </c>
      <c r="K163" s="32">
        <v>3.72</v>
      </c>
      <c r="L163" s="33"/>
      <c r="M163" s="34"/>
      <c r="N163" s="34">
        <f t="shared" si="12"/>
        <v>3.72</v>
      </c>
      <c r="O163" s="32">
        <v>3.72</v>
      </c>
      <c r="P163" s="33"/>
      <c r="Q163" s="34"/>
      <c r="R163" s="34">
        <f t="shared" si="13"/>
        <v>3.72</v>
      </c>
      <c r="S163" s="35" t="s">
        <v>27</v>
      </c>
      <c r="T163" s="34">
        <f t="shared" si="14"/>
        <v>0.3</v>
      </c>
      <c r="U163" s="35" t="s">
        <v>27</v>
      </c>
      <c r="V163" s="34">
        <f t="shared" si="15"/>
        <v>0.3</v>
      </c>
      <c r="W163" s="35" t="s">
        <v>27</v>
      </c>
      <c r="X163" s="34">
        <f t="shared" si="16"/>
        <v>0.3</v>
      </c>
      <c r="Y163" s="36">
        <f t="shared" si="17"/>
        <v>7834320.0000000009</v>
      </c>
      <c r="Z163" s="37" t="s">
        <v>585</v>
      </c>
    </row>
    <row r="164" spans="1:26" ht="28.5" x14ac:dyDescent="0.25">
      <c r="A164" s="1" t="s">
        <v>22</v>
      </c>
      <c r="B164" s="15" t="s">
        <v>23</v>
      </c>
      <c r="C164" s="28" t="s">
        <v>194</v>
      </c>
      <c r="D164" s="29">
        <f>MAX($D$8:D163)+1</f>
        <v>148</v>
      </c>
      <c r="E164" s="64" t="s">
        <v>199</v>
      </c>
      <c r="F164" s="31">
        <v>5611531636</v>
      </c>
      <c r="G164" s="32">
        <v>4.32</v>
      </c>
      <c r="H164" s="33"/>
      <c r="I164" s="34"/>
      <c r="J164" s="34">
        <f t="shared" si="12"/>
        <v>4.32</v>
      </c>
      <c r="K164" s="32">
        <v>4.32</v>
      </c>
      <c r="L164" s="33"/>
      <c r="M164" s="34"/>
      <c r="N164" s="34">
        <f t="shared" si="12"/>
        <v>4.32</v>
      </c>
      <c r="O164" s="32">
        <v>4.32</v>
      </c>
      <c r="P164" s="33"/>
      <c r="Q164" s="34"/>
      <c r="R164" s="34">
        <f t="shared" si="13"/>
        <v>4.32</v>
      </c>
      <c r="S164" s="35" t="s">
        <v>27</v>
      </c>
      <c r="T164" s="34">
        <f t="shared" si="14"/>
        <v>0.3</v>
      </c>
      <c r="U164" s="35" t="s">
        <v>27</v>
      </c>
      <c r="V164" s="34">
        <f t="shared" si="15"/>
        <v>0.3</v>
      </c>
      <c r="W164" s="35" t="s">
        <v>27</v>
      </c>
      <c r="X164" s="34">
        <f t="shared" si="16"/>
        <v>0.3</v>
      </c>
      <c r="Y164" s="36">
        <f t="shared" si="17"/>
        <v>9097920</v>
      </c>
      <c r="Z164" s="37" t="s">
        <v>586</v>
      </c>
    </row>
    <row r="165" spans="1:26" ht="28.5" x14ac:dyDescent="0.25">
      <c r="A165" s="1" t="s">
        <v>22</v>
      </c>
      <c r="B165" s="15" t="s">
        <v>23</v>
      </c>
      <c r="C165" s="28" t="s">
        <v>194</v>
      </c>
      <c r="D165" s="29">
        <f>MAX($D$8:D164)+1</f>
        <v>149</v>
      </c>
      <c r="E165" s="64" t="s">
        <v>200</v>
      </c>
      <c r="F165" s="31">
        <v>5610228412</v>
      </c>
      <c r="G165" s="32">
        <v>4.0599999999999996</v>
      </c>
      <c r="H165" s="33">
        <f>G165*20%</f>
        <v>0.81199999999999994</v>
      </c>
      <c r="I165" s="34"/>
      <c r="J165" s="34">
        <f t="shared" si="12"/>
        <v>4.8719999999999999</v>
      </c>
      <c r="K165" s="32">
        <v>4.0599999999999996</v>
      </c>
      <c r="L165" s="33">
        <f>K165*21%</f>
        <v>0.85259999999999991</v>
      </c>
      <c r="M165" s="34"/>
      <c r="N165" s="34">
        <f t="shared" si="12"/>
        <v>4.9125999999999994</v>
      </c>
      <c r="O165" s="32">
        <v>4.0599999999999996</v>
      </c>
      <c r="P165" s="33">
        <f>L165</f>
        <v>0.85259999999999991</v>
      </c>
      <c r="Q165" s="34"/>
      <c r="R165" s="34">
        <f t="shared" si="13"/>
        <v>4.9125999999999994</v>
      </c>
      <c r="S165" s="35" t="s">
        <v>27</v>
      </c>
      <c r="T165" s="34">
        <f t="shared" si="14"/>
        <v>0.3</v>
      </c>
      <c r="U165" s="35" t="s">
        <v>27</v>
      </c>
      <c r="V165" s="34">
        <f t="shared" si="15"/>
        <v>0.3</v>
      </c>
      <c r="W165" s="35" t="s">
        <v>27</v>
      </c>
      <c r="X165" s="34">
        <f t="shared" si="16"/>
        <v>0.3</v>
      </c>
      <c r="Y165" s="36">
        <f t="shared" si="17"/>
        <v>10317434.4</v>
      </c>
      <c r="Z165" s="37" t="s">
        <v>587</v>
      </c>
    </row>
    <row r="166" spans="1:26" ht="28.5" x14ac:dyDescent="0.25">
      <c r="A166" s="1" t="s">
        <v>22</v>
      </c>
      <c r="B166" s="15" t="s">
        <v>23</v>
      </c>
      <c r="C166" s="28" t="s">
        <v>194</v>
      </c>
      <c r="D166" s="29">
        <f>MAX($D$8:D165)+1</f>
        <v>150</v>
      </c>
      <c r="E166" s="64" t="s">
        <v>201</v>
      </c>
      <c r="F166" s="31">
        <v>5610409305</v>
      </c>
      <c r="G166" s="32">
        <v>3.99</v>
      </c>
      <c r="H166" s="32"/>
      <c r="I166" s="32"/>
      <c r="J166" s="34">
        <f t="shared" si="12"/>
        <v>3.99</v>
      </c>
      <c r="K166" s="32">
        <v>3.99</v>
      </c>
      <c r="L166" s="32"/>
      <c r="M166" s="32"/>
      <c r="N166" s="34">
        <f t="shared" si="12"/>
        <v>3.99</v>
      </c>
      <c r="O166" s="32">
        <v>3.99</v>
      </c>
      <c r="P166" s="32"/>
      <c r="Q166" s="32"/>
      <c r="R166" s="34">
        <f t="shared" si="13"/>
        <v>3.99</v>
      </c>
      <c r="S166" s="35" t="s">
        <v>27</v>
      </c>
      <c r="T166" s="34">
        <f t="shared" si="14"/>
        <v>0.3</v>
      </c>
      <c r="U166" s="35" t="s">
        <v>27</v>
      </c>
      <c r="V166" s="34">
        <f t="shared" si="15"/>
        <v>0.3</v>
      </c>
      <c r="W166" s="35" t="s">
        <v>27</v>
      </c>
      <c r="X166" s="34">
        <f t="shared" si="16"/>
        <v>0.3</v>
      </c>
      <c r="Y166" s="36">
        <f t="shared" si="17"/>
        <v>8402940</v>
      </c>
      <c r="Z166" s="37" t="s">
        <v>588</v>
      </c>
    </row>
    <row r="167" spans="1:26" ht="28.5" x14ac:dyDescent="0.25">
      <c r="A167" s="1" t="s">
        <v>22</v>
      </c>
      <c r="B167" s="15" t="s">
        <v>23</v>
      </c>
      <c r="C167" s="28" t="s">
        <v>194</v>
      </c>
      <c r="D167" s="29">
        <f>MAX($D$8:D166)+1</f>
        <v>151</v>
      </c>
      <c r="E167" s="66" t="s">
        <v>202</v>
      </c>
      <c r="F167" s="47">
        <v>5623448748</v>
      </c>
      <c r="G167" s="91">
        <v>4.6500000000000004</v>
      </c>
      <c r="H167" s="91"/>
      <c r="I167" s="91"/>
      <c r="J167" s="34">
        <f t="shared" si="12"/>
        <v>4.6500000000000004</v>
      </c>
      <c r="K167" s="92">
        <v>4.6500000000000004</v>
      </c>
      <c r="L167" s="92"/>
      <c r="M167" s="92"/>
      <c r="N167" s="34">
        <f t="shared" si="12"/>
        <v>4.6500000000000004</v>
      </c>
      <c r="O167" s="92">
        <v>4.6500000000000004</v>
      </c>
      <c r="P167" s="92"/>
      <c r="Q167" s="92"/>
      <c r="R167" s="34">
        <f t="shared" si="13"/>
        <v>4.6500000000000004</v>
      </c>
      <c r="S167" s="35" t="s">
        <v>27</v>
      </c>
      <c r="T167" s="34">
        <f t="shared" si="14"/>
        <v>0.3</v>
      </c>
      <c r="U167" s="35" t="s">
        <v>27</v>
      </c>
      <c r="V167" s="34">
        <f t="shared" si="15"/>
        <v>0.3</v>
      </c>
      <c r="W167" s="35" t="s">
        <v>27</v>
      </c>
      <c r="X167" s="34">
        <f t="shared" si="16"/>
        <v>0.3</v>
      </c>
      <c r="Y167" s="36">
        <f t="shared" si="17"/>
        <v>9792900.0000000019</v>
      </c>
      <c r="Z167" s="37" t="s">
        <v>589</v>
      </c>
    </row>
    <row r="168" spans="1:26" ht="28.5" x14ac:dyDescent="0.25">
      <c r="A168" s="1" t="s">
        <v>22</v>
      </c>
      <c r="B168" s="15" t="s">
        <v>23</v>
      </c>
      <c r="C168" s="28" t="s">
        <v>194</v>
      </c>
      <c r="D168" s="29">
        <f>MAX($D$8:D167)+1</f>
        <v>152</v>
      </c>
      <c r="E168" s="66" t="s">
        <v>203</v>
      </c>
      <c r="F168" s="47">
        <v>5623448793</v>
      </c>
      <c r="G168" s="67">
        <v>3.99</v>
      </c>
      <c r="H168" s="67"/>
      <c r="I168" s="67"/>
      <c r="J168" s="34">
        <f t="shared" si="12"/>
        <v>3.99</v>
      </c>
      <c r="K168" s="67">
        <v>3.99</v>
      </c>
      <c r="L168" s="67"/>
      <c r="M168" s="67"/>
      <c r="N168" s="34">
        <f t="shared" si="12"/>
        <v>3.99</v>
      </c>
      <c r="O168" s="67">
        <v>3.99</v>
      </c>
      <c r="P168" s="67"/>
      <c r="Q168" s="67"/>
      <c r="R168" s="34">
        <f t="shared" si="13"/>
        <v>3.99</v>
      </c>
      <c r="S168" s="35" t="s">
        <v>27</v>
      </c>
      <c r="T168" s="34">
        <f t="shared" si="14"/>
        <v>0.3</v>
      </c>
      <c r="U168" s="35" t="s">
        <v>27</v>
      </c>
      <c r="V168" s="34">
        <f t="shared" si="15"/>
        <v>0.3</v>
      </c>
      <c r="W168" s="35" t="s">
        <v>27</v>
      </c>
      <c r="X168" s="34">
        <f t="shared" si="16"/>
        <v>0.3</v>
      </c>
      <c r="Y168" s="36">
        <f t="shared" si="17"/>
        <v>8402940</v>
      </c>
      <c r="Z168" s="37" t="s">
        <v>590</v>
      </c>
    </row>
    <row r="169" spans="1:26" ht="28.5" x14ac:dyDescent="0.25">
      <c r="A169" s="1" t="s">
        <v>22</v>
      </c>
      <c r="B169" s="15" t="s">
        <v>23</v>
      </c>
      <c r="C169" s="28" t="s">
        <v>194</v>
      </c>
      <c r="D169" s="29">
        <f>MAX($D$8:D168)+1</f>
        <v>153</v>
      </c>
      <c r="E169" s="83" t="s">
        <v>204</v>
      </c>
      <c r="F169" s="47">
        <v>8813369427</v>
      </c>
      <c r="G169" s="97">
        <v>2.67</v>
      </c>
      <c r="H169" s="97"/>
      <c r="I169" s="97"/>
      <c r="J169" s="34">
        <f t="shared" si="12"/>
        <v>2.67</v>
      </c>
      <c r="K169" s="97">
        <v>2.67</v>
      </c>
      <c r="L169" s="97"/>
      <c r="M169" s="97"/>
      <c r="N169" s="34">
        <f t="shared" si="12"/>
        <v>2.67</v>
      </c>
      <c r="O169" s="97">
        <v>2.67</v>
      </c>
      <c r="P169" s="97"/>
      <c r="Q169" s="97"/>
      <c r="R169" s="34">
        <f t="shared" si="13"/>
        <v>2.67</v>
      </c>
      <c r="S169" s="35" t="s">
        <v>77</v>
      </c>
      <c r="T169" s="34">
        <f t="shared" si="14"/>
        <v>0</v>
      </c>
      <c r="U169" s="35" t="s">
        <v>77</v>
      </c>
      <c r="V169" s="34">
        <f t="shared" si="15"/>
        <v>0</v>
      </c>
      <c r="W169" s="35" t="s">
        <v>77</v>
      </c>
      <c r="X169" s="34">
        <f t="shared" si="16"/>
        <v>0</v>
      </c>
      <c r="Y169" s="36">
        <f t="shared" si="17"/>
        <v>0</v>
      </c>
      <c r="Z169" s="37" t="s">
        <v>591</v>
      </c>
    </row>
    <row r="170" spans="1:26" ht="28.5" x14ac:dyDescent="0.25">
      <c r="A170" s="1" t="s">
        <v>22</v>
      </c>
      <c r="B170" s="15" t="s">
        <v>23</v>
      </c>
      <c r="C170" s="28" t="s">
        <v>194</v>
      </c>
      <c r="D170" s="29">
        <f>MAX($D$8:D169)+1</f>
        <v>154</v>
      </c>
      <c r="E170" s="83" t="s">
        <v>205</v>
      </c>
      <c r="F170" s="47">
        <v>8883379941</v>
      </c>
      <c r="G170" s="78">
        <v>3</v>
      </c>
      <c r="H170" s="78"/>
      <c r="I170" s="78"/>
      <c r="J170" s="34">
        <f t="shared" si="12"/>
        <v>3</v>
      </c>
      <c r="K170" s="78">
        <v>3</v>
      </c>
      <c r="L170" s="78"/>
      <c r="M170" s="78"/>
      <c r="N170" s="34">
        <f t="shared" si="12"/>
        <v>3</v>
      </c>
      <c r="O170" s="78">
        <v>3</v>
      </c>
      <c r="P170" s="78"/>
      <c r="Q170" s="78"/>
      <c r="R170" s="34">
        <f t="shared" si="13"/>
        <v>3</v>
      </c>
      <c r="S170" s="35" t="s">
        <v>27</v>
      </c>
      <c r="T170" s="34">
        <f t="shared" si="14"/>
        <v>0.3</v>
      </c>
      <c r="U170" s="35" t="s">
        <v>27</v>
      </c>
      <c r="V170" s="34">
        <f t="shared" si="15"/>
        <v>0.3</v>
      </c>
      <c r="W170" s="35" t="s">
        <v>27</v>
      </c>
      <c r="X170" s="34">
        <f t="shared" si="16"/>
        <v>0.3</v>
      </c>
      <c r="Y170" s="36">
        <f t="shared" si="17"/>
        <v>6317999.9999999991</v>
      </c>
      <c r="Z170" s="37" t="s">
        <v>592</v>
      </c>
    </row>
    <row r="171" spans="1:26" ht="28.5" x14ac:dyDescent="0.25">
      <c r="A171" s="1" t="s">
        <v>22</v>
      </c>
      <c r="B171" s="15" t="s">
        <v>23</v>
      </c>
      <c r="C171" s="28" t="s">
        <v>194</v>
      </c>
      <c r="D171" s="29">
        <f>MAX($D$8:D170)+1</f>
        <v>155</v>
      </c>
      <c r="E171" s="83" t="s">
        <v>206</v>
      </c>
      <c r="F171" s="47">
        <v>5623464452</v>
      </c>
      <c r="G171" s="78">
        <v>2.67</v>
      </c>
      <c r="H171" s="78"/>
      <c r="I171" s="78"/>
      <c r="J171" s="34">
        <f t="shared" si="12"/>
        <v>2.67</v>
      </c>
      <c r="K171" s="78">
        <v>2.67</v>
      </c>
      <c r="L171" s="78"/>
      <c r="M171" s="78"/>
      <c r="N171" s="34">
        <f t="shared" si="12"/>
        <v>2.67</v>
      </c>
      <c r="O171" s="78">
        <v>2.67</v>
      </c>
      <c r="P171" s="78"/>
      <c r="Q171" s="78"/>
      <c r="R171" s="34">
        <f t="shared" si="13"/>
        <v>2.67</v>
      </c>
      <c r="S171" s="35" t="s">
        <v>27</v>
      </c>
      <c r="T171" s="34">
        <f t="shared" si="14"/>
        <v>0.3</v>
      </c>
      <c r="U171" s="35" t="s">
        <v>27</v>
      </c>
      <c r="V171" s="34">
        <f t="shared" si="15"/>
        <v>0.3</v>
      </c>
      <c r="W171" s="35" t="s">
        <v>27</v>
      </c>
      <c r="X171" s="34">
        <f t="shared" si="16"/>
        <v>0.3</v>
      </c>
      <c r="Y171" s="36">
        <f t="shared" si="17"/>
        <v>5623019.9999999991</v>
      </c>
      <c r="Z171" s="37" t="s">
        <v>593</v>
      </c>
    </row>
    <row r="172" spans="1:26" ht="28.5" x14ac:dyDescent="0.25">
      <c r="A172" s="1" t="s">
        <v>22</v>
      </c>
      <c r="B172" s="15" t="s">
        <v>23</v>
      </c>
      <c r="C172" s="28" t="s">
        <v>194</v>
      </c>
      <c r="D172" s="29">
        <f>MAX($D$8:D171)+1</f>
        <v>156</v>
      </c>
      <c r="E172" s="83" t="s">
        <v>207</v>
      </c>
      <c r="F172" s="47">
        <v>8893375046</v>
      </c>
      <c r="G172" s="78">
        <v>2.67</v>
      </c>
      <c r="H172" s="78"/>
      <c r="I172" s="78"/>
      <c r="J172" s="34">
        <f t="shared" si="12"/>
        <v>2.67</v>
      </c>
      <c r="K172" s="78">
        <v>2.67</v>
      </c>
      <c r="L172" s="78"/>
      <c r="M172" s="78"/>
      <c r="N172" s="34">
        <f t="shared" si="12"/>
        <v>2.67</v>
      </c>
      <c r="O172" s="78">
        <v>2.67</v>
      </c>
      <c r="P172" s="78"/>
      <c r="Q172" s="78"/>
      <c r="R172" s="34">
        <f t="shared" si="13"/>
        <v>2.67</v>
      </c>
      <c r="S172" s="35" t="s">
        <v>27</v>
      </c>
      <c r="T172" s="34">
        <f t="shared" si="14"/>
        <v>0.3</v>
      </c>
      <c r="U172" s="35" t="s">
        <v>27</v>
      </c>
      <c r="V172" s="34">
        <f t="shared" si="15"/>
        <v>0.3</v>
      </c>
      <c r="W172" s="35" t="s">
        <v>27</v>
      </c>
      <c r="X172" s="34">
        <f t="shared" si="16"/>
        <v>0.3</v>
      </c>
      <c r="Y172" s="36">
        <f t="shared" si="17"/>
        <v>5623019.9999999991</v>
      </c>
      <c r="Z172" s="37" t="s">
        <v>594</v>
      </c>
    </row>
    <row r="173" spans="1:26" ht="28.5" x14ac:dyDescent="0.25">
      <c r="A173" s="1" t="s">
        <v>22</v>
      </c>
      <c r="B173" s="15" t="s">
        <v>23</v>
      </c>
      <c r="C173" s="28" t="s">
        <v>194</v>
      </c>
      <c r="D173" s="29">
        <f>MAX($D$8:D172)+1</f>
        <v>157</v>
      </c>
      <c r="E173" s="64" t="s">
        <v>208</v>
      </c>
      <c r="F173" s="31">
        <v>5610235519</v>
      </c>
      <c r="G173" s="32">
        <v>4.32</v>
      </c>
      <c r="H173" s="32"/>
      <c r="I173" s="32"/>
      <c r="J173" s="34">
        <f t="shared" si="12"/>
        <v>4.32</v>
      </c>
      <c r="K173" s="32">
        <v>4.32</v>
      </c>
      <c r="L173" s="32"/>
      <c r="M173" s="32"/>
      <c r="N173" s="34">
        <f t="shared" si="12"/>
        <v>4.32</v>
      </c>
      <c r="O173" s="32">
        <v>4.32</v>
      </c>
      <c r="P173" s="32"/>
      <c r="Q173" s="32"/>
      <c r="R173" s="34">
        <f t="shared" si="13"/>
        <v>4.32</v>
      </c>
      <c r="S173" s="35" t="s">
        <v>27</v>
      </c>
      <c r="T173" s="34">
        <f t="shared" si="14"/>
        <v>0.3</v>
      </c>
      <c r="U173" s="35" t="s">
        <v>27</v>
      </c>
      <c r="V173" s="34">
        <f t="shared" si="15"/>
        <v>0.3</v>
      </c>
      <c r="W173" s="35" t="s">
        <v>27</v>
      </c>
      <c r="X173" s="34">
        <f t="shared" si="16"/>
        <v>0.3</v>
      </c>
      <c r="Y173" s="36">
        <f t="shared" si="17"/>
        <v>9097920</v>
      </c>
      <c r="Z173" s="37" t="s">
        <v>595</v>
      </c>
    </row>
    <row r="174" spans="1:26" x14ac:dyDescent="0.25">
      <c r="B174" s="15"/>
      <c r="C174" s="28"/>
      <c r="D174" s="29" t="s">
        <v>20</v>
      </c>
      <c r="E174" s="44" t="s">
        <v>209</v>
      </c>
      <c r="F174" s="31"/>
      <c r="G174" s="32"/>
      <c r="H174" s="32"/>
      <c r="I174" s="32"/>
      <c r="J174" s="34"/>
      <c r="K174" s="32"/>
      <c r="L174" s="32"/>
      <c r="M174" s="32"/>
      <c r="N174" s="34"/>
      <c r="O174" s="32"/>
      <c r="P174" s="32"/>
      <c r="Q174" s="32"/>
      <c r="R174" s="34"/>
      <c r="S174" s="35"/>
      <c r="T174" s="34"/>
      <c r="U174" s="35"/>
      <c r="V174" s="34"/>
      <c r="W174" s="35"/>
      <c r="X174" s="34"/>
      <c r="Y174" s="36"/>
      <c r="Z174" s="37"/>
    </row>
    <row r="175" spans="1:26" ht="28.5" x14ac:dyDescent="0.25">
      <c r="A175" s="1" t="s">
        <v>22</v>
      </c>
      <c r="B175" s="15" t="s">
        <v>23</v>
      </c>
      <c r="C175" s="28" t="s">
        <v>210</v>
      </c>
      <c r="D175" s="29">
        <f>MAX($D$8:D174)+1</f>
        <v>158</v>
      </c>
      <c r="E175" s="66" t="s">
        <v>211</v>
      </c>
      <c r="F175" s="47">
        <v>5623455085</v>
      </c>
      <c r="G175" s="67">
        <v>3.33</v>
      </c>
      <c r="H175" s="33"/>
      <c r="I175" s="34">
        <v>0.5</v>
      </c>
      <c r="J175" s="34">
        <f t="shared" si="12"/>
        <v>3.83</v>
      </c>
      <c r="K175" s="67">
        <v>3.33</v>
      </c>
      <c r="L175" s="33"/>
      <c r="M175" s="34">
        <v>0.5</v>
      </c>
      <c r="N175" s="34">
        <f t="shared" si="12"/>
        <v>3.83</v>
      </c>
      <c r="O175" s="67">
        <v>3.33</v>
      </c>
      <c r="P175" s="33"/>
      <c r="Q175" s="34">
        <v>0.5</v>
      </c>
      <c r="R175" s="34">
        <f t="shared" si="13"/>
        <v>3.83</v>
      </c>
      <c r="S175" s="35" t="s">
        <v>27</v>
      </c>
      <c r="T175" s="34">
        <f t="shared" si="14"/>
        <v>0.3</v>
      </c>
      <c r="U175" s="35" t="s">
        <v>27</v>
      </c>
      <c r="V175" s="34">
        <f t="shared" si="15"/>
        <v>0.3</v>
      </c>
      <c r="W175" s="35" t="s">
        <v>27</v>
      </c>
      <c r="X175" s="34">
        <f t="shared" si="16"/>
        <v>0.3</v>
      </c>
      <c r="Y175" s="36">
        <f t="shared" si="17"/>
        <v>8065980</v>
      </c>
      <c r="Z175" s="37" t="s">
        <v>596</v>
      </c>
    </row>
    <row r="176" spans="1:26" ht="28.5" x14ac:dyDescent="0.25">
      <c r="A176" s="1" t="s">
        <v>22</v>
      </c>
      <c r="B176" s="15" t="s">
        <v>23</v>
      </c>
      <c r="C176" s="28" t="s">
        <v>210</v>
      </c>
      <c r="D176" s="29">
        <f>MAX($D$8:D175)+1</f>
        <v>159</v>
      </c>
      <c r="E176" s="66" t="s">
        <v>212</v>
      </c>
      <c r="F176" s="47">
        <v>5623455094</v>
      </c>
      <c r="G176" s="97">
        <v>3.65</v>
      </c>
      <c r="H176" s="33"/>
      <c r="I176" s="34"/>
      <c r="J176" s="34">
        <f t="shared" si="12"/>
        <v>3.65</v>
      </c>
      <c r="K176" s="97">
        <v>3.65</v>
      </c>
      <c r="L176" s="33"/>
      <c r="M176" s="34"/>
      <c r="N176" s="34">
        <f t="shared" si="12"/>
        <v>3.65</v>
      </c>
      <c r="O176" s="97">
        <v>3.65</v>
      </c>
      <c r="P176" s="33"/>
      <c r="Q176" s="34"/>
      <c r="R176" s="34">
        <f t="shared" si="13"/>
        <v>3.65</v>
      </c>
      <c r="S176" s="35" t="s">
        <v>27</v>
      </c>
      <c r="T176" s="34">
        <f t="shared" si="14"/>
        <v>0.3</v>
      </c>
      <c r="U176" s="35" t="s">
        <v>27</v>
      </c>
      <c r="V176" s="34">
        <f t="shared" si="15"/>
        <v>0.3</v>
      </c>
      <c r="W176" s="35" t="s">
        <v>27</v>
      </c>
      <c r="X176" s="34">
        <f t="shared" si="16"/>
        <v>0.3</v>
      </c>
      <c r="Y176" s="36">
        <f t="shared" si="17"/>
        <v>7686900</v>
      </c>
      <c r="Z176" s="37" t="s">
        <v>597</v>
      </c>
    </row>
    <row r="177" spans="1:26" ht="28.5" x14ac:dyDescent="0.25">
      <c r="A177" s="1" t="s">
        <v>22</v>
      </c>
      <c r="B177" s="15" t="s">
        <v>23</v>
      </c>
      <c r="C177" s="28" t="s">
        <v>210</v>
      </c>
      <c r="D177" s="29">
        <f>MAX($D$8:D176)+1</f>
        <v>160</v>
      </c>
      <c r="E177" s="83" t="s">
        <v>213</v>
      </c>
      <c r="F177" s="47">
        <v>5623462483</v>
      </c>
      <c r="G177" s="97">
        <v>2.67</v>
      </c>
      <c r="H177" s="33"/>
      <c r="I177" s="34"/>
      <c r="J177" s="34">
        <f t="shared" si="12"/>
        <v>2.67</v>
      </c>
      <c r="K177" s="97">
        <v>2.67</v>
      </c>
      <c r="L177" s="33"/>
      <c r="M177" s="34"/>
      <c r="N177" s="34">
        <f t="shared" si="12"/>
        <v>2.67</v>
      </c>
      <c r="O177" s="97">
        <v>2.67</v>
      </c>
      <c r="P177" s="33"/>
      <c r="Q177" s="34"/>
      <c r="R177" s="34">
        <f t="shared" si="13"/>
        <v>2.67</v>
      </c>
      <c r="S177" s="35" t="s">
        <v>27</v>
      </c>
      <c r="T177" s="34">
        <f t="shared" si="14"/>
        <v>0.3</v>
      </c>
      <c r="U177" s="35" t="s">
        <v>27</v>
      </c>
      <c r="V177" s="34">
        <f t="shared" si="15"/>
        <v>0.3</v>
      </c>
      <c r="W177" s="35" t="s">
        <v>27</v>
      </c>
      <c r="X177" s="34">
        <f t="shared" si="16"/>
        <v>0.3</v>
      </c>
      <c r="Y177" s="36">
        <f t="shared" si="17"/>
        <v>5623019.9999999991</v>
      </c>
      <c r="Z177" s="37" t="s">
        <v>598</v>
      </c>
    </row>
    <row r="178" spans="1:26" ht="28.5" x14ac:dyDescent="0.25">
      <c r="A178" s="1" t="s">
        <v>22</v>
      </c>
      <c r="B178" s="15" t="s">
        <v>23</v>
      </c>
      <c r="C178" s="28" t="s">
        <v>210</v>
      </c>
      <c r="D178" s="29">
        <f>MAX($D$8:D177)+1</f>
        <v>161</v>
      </c>
      <c r="E178" s="83" t="s">
        <v>214</v>
      </c>
      <c r="F178" s="47">
        <v>8803373280</v>
      </c>
      <c r="G178" s="78">
        <v>2.67</v>
      </c>
      <c r="H178" s="33"/>
      <c r="I178" s="34"/>
      <c r="J178" s="34">
        <f t="shared" si="12"/>
        <v>2.67</v>
      </c>
      <c r="K178" s="78">
        <v>2.67</v>
      </c>
      <c r="L178" s="33"/>
      <c r="M178" s="34"/>
      <c r="N178" s="34">
        <f t="shared" si="12"/>
        <v>2.67</v>
      </c>
      <c r="O178" s="78">
        <v>2.67</v>
      </c>
      <c r="P178" s="33"/>
      <c r="Q178" s="34"/>
      <c r="R178" s="34">
        <f t="shared" si="13"/>
        <v>2.67</v>
      </c>
      <c r="S178" s="35" t="s">
        <v>27</v>
      </c>
      <c r="T178" s="34">
        <f t="shared" si="14"/>
        <v>0.3</v>
      </c>
      <c r="U178" s="35" t="s">
        <v>26</v>
      </c>
      <c r="V178" s="34">
        <f t="shared" si="15"/>
        <v>0.5</v>
      </c>
      <c r="W178" s="35" t="s">
        <v>27</v>
      </c>
      <c r="X178" s="34">
        <f t="shared" si="16"/>
        <v>0.3</v>
      </c>
      <c r="Y178" s="36">
        <f t="shared" si="17"/>
        <v>6872580.0000000009</v>
      </c>
      <c r="Z178" s="37" t="s">
        <v>599</v>
      </c>
    </row>
    <row r="179" spans="1:26" ht="28.5" x14ac:dyDescent="0.25">
      <c r="A179" s="1" t="s">
        <v>22</v>
      </c>
      <c r="B179" s="15" t="s">
        <v>23</v>
      </c>
      <c r="C179" s="28" t="s">
        <v>210</v>
      </c>
      <c r="D179" s="29">
        <f>MAX($D$8:D178)+1</f>
        <v>162</v>
      </c>
      <c r="E179" s="30" t="s">
        <v>215</v>
      </c>
      <c r="F179" s="31">
        <v>5610281789</v>
      </c>
      <c r="G179" s="32">
        <v>5.08</v>
      </c>
      <c r="H179" s="33"/>
      <c r="I179" s="34">
        <v>0.6</v>
      </c>
      <c r="J179" s="34">
        <f t="shared" si="12"/>
        <v>5.68</v>
      </c>
      <c r="K179" s="32">
        <v>5.08</v>
      </c>
      <c r="L179" s="33"/>
      <c r="M179" s="34">
        <v>0.6</v>
      </c>
      <c r="N179" s="34">
        <f t="shared" si="12"/>
        <v>5.68</v>
      </c>
      <c r="O179" s="32">
        <v>5.08</v>
      </c>
      <c r="P179" s="33"/>
      <c r="Q179" s="34">
        <v>0.6</v>
      </c>
      <c r="R179" s="34">
        <f t="shared" si="13"/>
        <v>5.68</v>
      </c>
      <c r="S179" s="35" t="s">
        <v>27</v>
      </c>
      <c r="T179" s="34">
        <f t="shared" si="14"/>
        <v>0.3</v>
      </c>
      <c r="U179" s="35" t="s">
        <v>27</v>
      </c>
      <c r="V179" s="34">
        <f t="shared" si="15"/>
        <v>0.3</v>
      </c>
      <c r="W179" s="35" t="s">
        <v>27</v>
      </c>
      <c r="X179" s="34">
        <f t="shared" si="16"/>
        <v>0.3</v>
      </c>
      <c r="Y179" s="36">
        <f t="shared" si="17"/>
        <v>11962080</v>
      </c>
      <c r="Z179" s="37" t="s">
        <v>600</v>
      </c>
    </row>
    <row r="180" spans="1:26" ht="28.5" x14ac:dyDescent="0.25">
      <c r="A180" s="1" t="s">
        <v>22</v>
      </c>
      <c r="B180" s="15" t="s">
        <v>23</v>
      </c>
      <c r="C180" s="28" t="s">
        <v>210</v>
      </c>
      <c r="D180" s="29">
        <f>MAX($D$8:D179)+1</f>
        <v>163</v>
      </c>
      <c r="E180" s="30" t="s">
        <v>216</v>
      </c>
      <c r="F180" s="31">
        <v>5610289765</v>
      </c>
      <c r="G180" s="32">
        <v>4.9800000000000004</v>
      </c>
      <c r="H180" s="33">
        <f>G180*8%</f>
        <v>0.39840000000000003</v>
      </c>
      <c r="I180" s="34"/>
      <c r="J180" s="34">
        <f t="shared" si="12"/>
        <v>5.3784000000000001</v>
      </c>
      <c r="K180" s="32">
        <v>4.9800000000000004</v>
      </c>
      <c r="L180" s="33">
        <f>K180*8%</f>
        <v>0.39840000000000003</v>
      </c>
      <c r="M180" s="34"/>
      <c r="N180" s="34">
        <f t="shared" si="12"/>
        <v>5.3784000000000001</v>
      </c>
      <c r="O180" s="32">
        <v>4.9800000000000004</v>
      </c>
      <c r="P180" s="33">
        <f>O180*8%</f>
        <v>0.39840000000000003</v>
      </c>
      <c r="Q180" s="34"/>
      <c r="R180" s="34">
        <f t="shared" si="13"/>
        <v>5.3784000000000001</v>
      </c>
      <c r="S180" s="35" t="s">
        <v>27</v>
      </c>
      <c r="T180" s="34">
        <f t="shared" si="14"/>
        <v>0.3</v>
      </c>
      <c r="U180" s="35" t="s">
        <v>27</v>
      </c>
      <c r="V180" s="34">
        <f t="shared" si="15"/>
        <v>0.3</v>
      </c>
      <c r="W180" s="35" t="s">
        <v>27</v>
      </c>
      <c r="X180" s="34">
        <f t="shared" si="16"/>
        <v>0.3</v>
      </c>
      <c r="Y180" s="36">
        <f t="shared" si="17"/>
        <v>11326910.4</v>
      </c>
      <c r="Z180" s="37" t="s">
        <v>601</v>
      </c>
    </row>
    <row r="181" spans="1:26" ht="28.5" x14ac:dyDescent="0.25">
      <c r="A181" s="1" t="s">
        <v>22</v>
      </c>
      <c r="B181" s="15" t="s">
        <v>23</v>
      </c>
      <c r="C181" s="28" t="s">
        <v>210</v>
      </c>
      <c r="D181" s="29">
        <f>MAX($D$8:D180)+1</f>
        <v>164</v>
      </c>
      <c r="E181" s="64" t="s">
        <v>217</v>
      </c>
      <c r="F181" s="31">
        <v>5610343616</v>
      </c>
      <c r="G181" s="32">
        <v>4.32</v>
      </c>
      <c r="H181" s="33"/>
      <c r="I181" s="34">
        <v>0.5</v>
      </c>
      <c r="J181" s="34">
        <f t="shared" si="12"/>
        <v>4.82</v>
      </c>
      <c r="K181" s="32">
        <v>4.32</v>
      </c>
      <c r="L181" s="33"/>
      <c r="M181" s="34">
        <v>0.5</v>
      </c>
      <c r="N181" s="34">
        <f t="shared" si="12"/>
        <v>4.82</v>
      </c>
      <c r="O181" s="32">
        <v>4.32</v>
      </c>
      <c r="P181" s="33"/>
      <c r="Q181" s="34">
        <v>0.5</v>
      </c>
      <c r="R181" s="34">
        <f t="shared" si="13"/>
        <v>4.82</v>
      </c>
      <c r="S181" s="35" t="s">
        <v>27</v>
      </c>
      <c r="T181" s="34">
        <f t="shared" si="14"/>
        <v>0.3</v>
      </c>
      <c r="U181" s="35" t="s">
        <v>27</v>
      </c>
      <c r="V181" s="34">
        <f t="shared" si="15"/>
        <v>0.3</v>
      </c>
      <c r="W181" s="35" t="s">
        <v>27</v>
      </c>
      <c r="X181" s="34">
        <f t="shared" si="16"/>
        <v>0.3</v>
      </c>
      <c r="Y181" s="36">
        <f t="shared" si="17"/>
        <v>10150920</v>
      </c>
      <c r="Z181" s="37" t="s">
        <v>602</v>
      </c>
    </row>
    <row r="182" spans="1:26" ht="28.5" x14ac:dyDescent="0.25">
      <c r="A182" s="1" t="s">
        <v>22</v>
      </c>
      <c r="B182" s="15" t="s">
        <v>23</v>
      </c>
      <c r="C182" s="28" t="s">
        <v>210</v>
      </c>
      <c r="D182" s="29">
        <f>MAX($D$8:D181)+1</f>
        <v>165</v>
      </c>
      <c r="E182" s="64" t="s">
        <v>218</v>
      </c>
      <c r="F182" s="31">
        <v>5610566051</v>
      </c>
      <c r="G182" s="32">
        <v>3.66</v>
      </c>
      <c r="H182" s="32"/>
      <c r="I182" s="32"/>
      <c r="J182" s="34">
        <f t="shared" si="12"/>
        <v>3.66</v>
      </c>
      <c r="K182" s="32">
        <v>3.66</v>
      </c>
      <c r="L182" s="32"/>
      <c r="M182" s="32"/>
      <c r="N182" s="34">
        <f t="shared" si="12"/>
        <v>3.66</v>
      </c>
      <c r="O182" s="32">
        <v>3.66</v>
      </c>
      <c r="P182" s="32"/>
      <c r="Q182" s="32"/>
      <c r="R182" s="34">
        <f t="shared" si="13"/>
        <v>3.66</v>
      </c>
      <c r="S182" s="35" t="s">
        <v>27</v>
      </c>
      <c r="T182" s="34">
        <f t="shared" si="14"/>
        <v>0.3</v>
      </c>
      <c r="U182" s="35" t="s">
        <v>27</v>
      </c>
      <c r="V182" s="34">
        <f t="shared" si="15"/>
        <v>0.3</v>
      </c>
      <c r="W182" s="35" t="s">
        <v>27</v>
      </c>
      <c r="X182" s="34">
        <f t="shared" si="16"/>
        <v>0.3</v>
      </c>
      <c r="Y182" s="36">
        <f t="shared" si="17"/>
        <v>7707960.0000000009</v>
      </c>
      <c r="Z182" s="37" t="s">
        <v>603</v>
      </c>
    </row>
    <row r="183" spans="1:26" ht="28.5" x14ac:dyDescent="0.25">
      <c r="A183" s="1" t="s">
        <v>22</v>
      </c>
      <c r="B183" s="15" t="s">
        <v>23</v>
      </c>
      <c r="C183" s="28" t="s">
        <v>210</v>
      </c>
      <c r="D183" s="29">
        <f>MAX($D$8:D182)+1</f>
        <v>166</v>
      </c>
      <c r="E183" s="64" t="s">
        <v>219</v>
      </c>
      <c r="F183" s="31">
        <v>5610602830</v>
      </c>
      <c r="G183" s="32">
        <v>3.66</v>
      </c>
      <c r="H183" s="32"/>
      <c r="I183" s="32"/>
      <c r="J183" s="34">
        <f t="shared" si="12"/>
        <v>3.66</v>
      </c>
      <c r="K183" s="32">
        <v>3.66</v>
      </c>
      <c r="L183" s="32"/>
      <c r="M183" s="32"/>
      <c r="N183" s="34">
        <f t="shared" si="12"/>
        <v>3.66</v>
      </c>
      <c r="O183" s="32">
        <v>3.66</v>
      </c>
      <c r="P183" s="32"/>
      <c r="Q183" s="32"/>
      <c r="R183" s="34">
        <f t="shared" si="13"/>
        <v>3.66</v>
      </c>
      <c r="S183" s="35" t="s">
        <v>27</v>
      </c>
      <c r="T183" s="34">
        <f t="shared" si="14"/>
        <v>0.3</v>
      </c>
      <c r="U183" s="35" t="s">
        <v>27</v>
      </c>
      <c r="V183" s="34">
        <f t="shared" si="15"/>
        <v>0.3</v>
      </c>
      <c r="W183" s="35" t="s">
        <v>27</v>
      </c>
      <c r="X183" s="34">
        <f t="shared" si="16"/>
        <v>0.3</v>
      </c>
      <c r="Y183" s="36">
        <f t="shared" si="17"/>
        <v>7707960.0000000009</v>
      </c>
      <c r="Z183" s="37" t="s">
        <v>604</v>
      </c>
    </row>
    <row r="184" spans="1:26" ht="28.5" x14ac:dyDescent="0.25">
      <c r="A184" s="1" t="s">
        <v>22</v>
      </c>
      <c r="B184" s="15" t="s">
        <v>23</v>
      </c>
      <c r="C184" s="28" t="s">
        <v>210</v>
      </c>
      <c r="D184" s="29">
        <f>MAX($D$8:D183)+1</f>
        <v>167</v>
      </c>
      <c r="E184" s="64" t="s">
        <v>220</v>
      </c>
      <c r="F184" s="31">
        <v>5611148799</v>
      </c>
      <c r="G184" s="32">
        <v>3.66</v>
      </c>
      <c r="H184" s="32"/>
      <c r="I184" s="32"/>
      <c r="J184" s="34">
        <f t="shared" si="12"/>
        <v>3.66</v>
      </c>
      <c r="K184" s="32">
        <v>3.66</v>
      </c>
      <c r="L184" s="32"/>
      <c r="M184" s="32"/>
      <c r="N184" s="34">
        <f t="shared" si="12"/>
        <v>3.66</v>
      </c>
      <c r="O184" s="32">
        <v>3.66</v>
      </c>
      <c r="P184" s="32"/>
      <c r="Q184" s="32"/>
      <c r="R184" s="34">
        <f t="shared" si="13"/>
        <v>3.66</v>
      </c>
      <c r="S184" s="35" t="s">
        <v>27</v>
      </c>
      <c r="T184" s="34">
        <f t="shared" si="14"/>
        <v>0.3</v>
      </c>
      <c r="U184" s="35" t="s">
        <v>27</v>
      </c>
      <c r="V184" s="34">
        <f t="shared" si="15"/>
        <v>0.3</v>
      </c>
      <c r="W184" s="35" t="s">
        <v>27</v>
      </c>
      <c r="X184" s="34">
        <f t="shared" si="16"/>
        <v>0.3</v>
      </c>
      <c r="Y184" s="36">
        <f t="shared" si="17"/>
        <v>7707960.0000000009</v>
      </c>
      <c r="Z184" s="37" t="s">
        <v>605</v>
      </c>
    </row>
    <row r="185" spans="1:26" ht="28.5" x14ac:dyDescent="0.25">
      <c r="A185" s="1" t="s">
        <v>22</v>
      </c>
      <c r="B185" s="15" t="s">
        <v>23</v>
      </c>
      <c r="C185" s="28" t="s">
        <v>210</v>
      </c>
      <c r="D185" s="29">
        <f>MAX($D$8:D184)+1</f>
        <v>168</v>
      </c>
      <c r="E185" s="30" t="s">
        <v>221</v>
      </c>
      <c r="F185" s="31">
        <v>5611148489</v>
      </c>
      <c r="G185" s="32">
        <v>2.86</v>
      </c>
      <c r="H185" s="32"/>
      <c r="I185" s="32"/>
      <c r="J185" s="34">
        <f t="shared" si="12"/>
        <v>2.86</v>
      </c>
      <c r="K185" s="32">
        <v>2.86</v>
      </c>
      <c r="L185" s="32"/>
      <c r="M185" s="32"/>
      <c r="N185" s="34">
        <f t="shared" si="12"/>
        <v>2.86</v>
      </c>
      <c r="O185" s="32">
        <v>2.86</v>
      </c>
      <c r="P185" s="32"/>
      <c r="Q185" s="32"/>
      <c r="R185" s="34">
        <f t="shared" si="13"/>
        <v>2.86</v>
      </c>
      <c r="S185" s="35" t="s">
        <v>77</v>
      </c>
      <c r="T185" s="34">
        <f t="shared" si="14"/>
        <v>0</v>
      </c>
      <c r="U185" s="35" t="s">
        <v>77</v>
      </c>
      <c r="V185" s="34">
        <f t="shared" si="15"/>
        <v>0</v>
      </c>
      <c r="W185" s="35" t="s">
        <v>77</v>
      </c>
      <c r="X185" s="34">
        <f t="shared" si="16"/>
        <v>0</v>
      </c>
      <c r="Y185" s="36">
        <f t="shared" si="17"/>
        <v>0</v>
      </c>
      <c r="Z185" s="37" t="s">
        <v>606</v>
      </c>
    </row>
    <row r="186" spans="1:26" x14ac:dyDescent="0.25">
      <c r="B186" s="15"/>
      <c r="C186" s="28"/>
      <c r="D186" s="29" t="s">
        <v>20</v>
      </c>
      <c r="E186" s="44" t="s">
        <v>222</v>
      </c>
      <c r="F186" s="31"/>
      <c r="G186" s="32"/>
      <c r="H186" s="32"/>
      <c r="I186" s="32"/>
      <c r="J186" s="34"/>
      <c r="K186" s="32"/>
      <c r="L186" s="32"/>
      <c r="M186" s="32"/>
      <c r="N186" s="34"/>
      <c r="O186" s="32"/>
      <c r="P186" s="32"/>
      <c r="Q186" s="32"/>
      <c r="R186" s="34"/>
      <c r="S186" s="35"/>
      <c r="T186" s="34"/>
      <c r="U186" s="35"/>
      <c r="V186" s="34"/>
      <c r="W186" s="35"/>
      <c r="X186" s="34"/>
      <c r="Y186" s="36"/>
      <c r="Z186" s="37"/>
    </row>
    <row r="187" spans="1:26" ht="28.5" x14ac:dyDescent="0.25">
      <c r="A187" s="1" t="s">
        <v>22</v>
      </c>
      <c r="B187" s="15" t="s">
        <v>23</v>
      </c>
      <c r="C187" s="28" t="s">
        <v>24</v>
      </c>
      <c r="D187" s="29">
        <f>MAX($D$8:D186)+1</f>
        <v>169</v>
      </c>
      <c r="E187" s="45" t="s">
        <v>223</v>
      </c>
      <c r="F187" s="31">
        <v>5611148957</v>
      </c>
      <c r="G187" s="32">
        <v>3.33</v>
      </c>
      <c r="H187" s="32"/>
      <c r="I187" s="32"/>
      <c r="J187" s="34">
        <f t="shared" si="12"/>
        <v>3.33</v>
      </c>
      <c r="K187" s="32">
        <v>3.33</v>
      </c>
      <c r="L187" s="32"/>
      <c r="M187" s="32"/>
      <c r="N187" s="34">
        <f t="shared" si="12"/>
        <v>3.33</v>
      </c>
      <c r="O187" s="32">
        <v>3.33</v>
      </c>
      <c r="P187" s="32"/>
      <c r="Q187" s="32"/>
      <c r="R187" s="34">
        <f t="shared" si="13"/>
        <v>3.33</v>
      </c>
      <c r="S187" s="35" t="s">
        <v>27</v>
      </c>
      <c r="T187" s="34">
        <f t="shared" si="14"/>
        <v>0.3</v>
      </c>
      <c r="U187" s="35" t="s">
        <v>27</v>
      </c>
      <c r="V187" s="34">
        <f t="shared" si="15"/>
        <v>0.3</v>
      </c>
      <c r="W187" s="35" t="s">
        <v>27</v>
      </c>
      <c r="X187" s="34">
        <f t="shared" si="16"/>
        <v>0.3</v>
      </c>
      <c r="Y187" s="36">
        <f t="shared" si="17"/>
        <v>7012980</v>
      </c>
      <c r="Z187" s="37" t="s">
        <v>607</v>
      </c>
    </row>
    <row r="188" spans="1:26" ht="28.5" x14ac:dyDescent="0.25">
      <c r="A188" s="1" t="s">
        <v>22</v>
      </c>
      <c r="B188" s="15" t="s">
        <v>23</v>
      </c>
      <c r="C188" s="28" t="s">
        <v>24</v>
      </c>
      <c r="D188" s="29">
        <f>MAX($D$8:D187)+1</f>
        <v>170</v>
      </c>
      <c r="E188" s="49" t="s">
        <v>224</v>
      </c>
      <c r="F188" s="31">
        <v>5611148221</v>
      </c>
      <c r="G188" s="32">
        <v>3.99</v>
      </c>
      <c r="H188" s="33"/>
      <c r="I188" s="34">
        <v>0.5</v>
      </c>
      <c r="J188" s="34">
        <f t="shared" si="12"/>
        <v>4.49</v>
      </c>
      <c r="K188" s="32">
        <v>3.99</v>
      </c>
      <c r="L188" s="33"/>
      <c r="M188" s="34">
        <v>0.5</v>
      </c>
      <c r="N188" s="34">
        <f t="shared" si="12"/>
        <v>4.49</v>
      </c>
      <c r="O188" s="32">
        <v>3.99</v>
      </c>
      <c r="P188" s="33"/>
      <c r="Q188" s="34">
        <v>0.5</v>
      </c>
      <c r="R188" s="34">
        <f t="shared" si="13"/>
        <v>4.49</v>
      </c>
      <c r="S188" s="35" t="s">
        <v>27</v>
      </c>
      <c r="T188" s="34">
        <f t="shared" si="14"/>
        <v>0.3</v>
      </c>
      <c r="U188" s="35" t="s">
        <v>27</v>
      </c>
      <c r="V188" s="34">
        <f t="shared" si="15"/>
        <v>0.3</v>
      </c>
      <c r="W188" s="35" t="s">
        <v>27</v>
      </c>
      <c r="X188" s="34">
        <f t="shared" si="16"/>
        <v>0.3</v>
      </c>
      <c r="Y188" s="36">
        <f t="shared" si="17"/>
        <v>9455940</v>
      </c>
      <c r="Z188" s="37" t="s">
        <v>608</v>
      </c>
    </row>
    <row r="189" spans="1:26" ht="28.5" x14ac:dyDescent="0.25">
      <c r="A189" s="1" t="s">
        <v>22</v>
      </c>
      <c r="B189" s="15" t="s">
        <v>23</v>
      </c>
      <c r="C189" s="28" t="s">
        <v>24</v>
      </c>
      <c r="D189" s="29">
        <f>MAX($D$8:D188)+1</f>
        <v>171</v>
      </c>
      <c r="E189" s="49" t="s">
        <v>225</v>
      </c>
      <c r="F189" s="31">
        <v>5611148504</v>
      </c>
      <c r="G189" s="32">
        <v>3.66</v>
      </c>
      <c r="H189" s="33"/>
      <c r="I189" s="34"/>
      <c r="J189" s="34">
        <f t="shared" si="12"/>
        <v>3.66</v>
      </c>
      <c r="K189" s="32">
        <v>3.66</v>
      </c>
      <c r="L189" s="33"/>
      <c r="M189" s="34"/>
      <c r="N189" s="34">
        <f t="shared" si="12"/>
        <v>3.66</v>
      </c>
      <c r="O189" s="32">
        <v>3.66</v>
      </c>
      <c r="P189" s="33"/>
      <c r="Q189" s="34"/>
      <c r="R189" s="34">
        <f t="shared" si="13"/>
        <v>3.66</v>
      </c>
      <c r="S189" s="35" t="s">
        <v>27</v>
      </c>
      <c r="T189" s="34">
        <f t="shared" si="14"/>
        <v>0.3</v>
      </c>
      <c r="U189" s="35" t="s">
        <v>27</v>
      </c>
      <c r="V189" s="34">
        <f t="shared" si="15"/>
        <v>0.3</v>
      </c>
      <c r="W189" s="35" t="s">
        <v>27</v>
      </c>
      <c r="X189" s="34">
        <f t="shared" si="16"/>
        <v>0.3</v>
      </c>
      <c r="Y189" s="36">
        <f t="shared" si="17"/>
        <v>7707960.0000000009</v>
      </c>
      <c r="Z189" s="37" t="s">
        <v>609</v>
      </c>
    </row>
    <row r="190" spans="1:26" ht="28.5" x14ac:dyDescent="0.25">
      <c r="A190" s="1" t="s">
        <v>22</v>
      </c>
      <c r="B190" s="15" t="s">
        <v>23</v>
      </c>
      <c r="C190" s="28" t="s">
        <v>24</v>
      </c>
      <c r="D190" s="29">
        <f>MAX($D$8:D189)+1</f>
        <v>172</v>
      </c>
      <c r="E190" s="45" t="s">
        <v>226</v>
      </c>
      <c r="F190" s="31">
        <v>5611148407</v>
      </c>
      <c r="G190" s="32">
        <v>3.33</v>
      </c>
      <c r="H190" s="33"/>
      <c r="I190" s="34"/>
      <c r="J190" s="34">
        <f t="shared" si="12"/>
        <v>3.33</v>
      </c>
      <c r="K190" s="32">
        <v>3.33</v>
      </c>
      <c r="L190" s="33"/>
      <c r="M190" s="34"/>
      <c r="N190" s="34">
        <f t="shared" si="12"/>
        <v>3.33</v>
      </c>
      <c r="O190" s="32">
        <v>3.33</v>
      </c>
      <c r="P190" s="33"/>
      <c r="Q190" s="34"/>
      <c r="R190" s="34">
        <f t="shared" si="13"/>
        <v>3.33</v>
      </c>
      <c r="S190" s="35" t="s">
        <v>27</v>
      </c>
      <c r="T190" s="34">
        <f t="shared" si="14"/>
        <v>0.3</v>
      </c>
      <c r="U190" s="35" t="s">
        <v>27</v>
      </c>
      <c r="V190" s="34">
        <f t="shared" si="15"/>
        <v>0.3</v>
      </c>
      <c r="W190" s="35" t="s">
        <v>27</v>
      </c>
      <c r="X190" s="34">
        <f t="shared" si="16"/>
        <v>0.3</v>
      </c>
      <c r="Y190" s="36">
        <f t="shared" si="17"/>
        <v>7012980</v>
      </c>
      <c r="Z190" s="37" t="s">
        <v>610</v>
      </c>
    </row>
    <row r="191" spans="1:26" ht="28.5" x14ac:dyDescent="0.25">
      <c r="A191" s="1" t="s">
        <v>22</v>
      </c>
      <c r="B191" s="15" t="s">
        <v>23</v>
      </c>
      <c r="C191" s="28" t="s">
        <v>24</v>
      </c>
      <c r="D191" s="29">
        <f>MAX($D$8:D190)+1</f>
        <v>173</v>
      </c>
      <c r="E191" s="49" t="s">
        <v>227</v>
      </c>
      <c r="F191" s="31">
        <v>5611148391</v>
      </c>
      <c r="G191" s="32">
        <v>3.66</v>
      </c>
      <c r="H191" s="33"/>
      <c r="I191" s="34"/>
      <c r="J191" s="34">
        <f t="shared" si="12"/>
        <v>3.66</v>
      </c>
      <c r="K191" s="32">
        <v>3.66</v>
      </c>
      <c r="L191" s="33"/>
      <c r="M191" s="34"/>
      <c r="N191" s="34">
        <f t="shared" si="12"/>
        <v>3.66</v>
      </c>
      <c r="O191" s="32">
        <v>3.66</v>
      </c>
      <c r="P191" s="33"/>
      <c r="Q191" s="34"/>
      <c r="R191" s="34">
        <f t="shared" si="13"/>
        <v>3.66</v>
      </c>
      <c r="S191" s="35" t="s">
        <v>27</v>
      </c>
      <c r="T191" s="34">
        <f t="shared" si="14"/>
        <v>0.3</v>
      </c>
      <c r="U191" s="35" t="s">
        <v>27</v>
      </c>
      <c r="V191" s="34">
        <f t="shared" si="15"/>
        <v>0.3</v>
      </c>
      <c r="W191" s="35" t="s">
        <v>27</v>
      </c>
      <c r="X191" s="34">
        <f t="shared" si="16"/>
        <v>0.3</v>
      </c>
      <c r="Y191" s="36">
        <f t="shared" si="17"/>
        <v>7707960.0000000009</v>
      </c>
      <c r="Z191" s="37" t="s">
        <v>611</v>
      </c>
    </row>
    <row r="192" spans="1:26" ht="28.5" x14ac:dyDescent="0.25">
      <c r="A192" s="1" t="s">
        <v>22</v>
      </c>
      <c r="B192" s="15" t="s">
        <v>23</v>
      </c>
      <c r="C192" s="28" t="s">
        <v>24</v>
      </c>
      <c r="D192" s="29">
        <f>MAX($D$8:D191)+1</f>
        <v>174</v>
      </c>
      <c r="E192" s="45" t="s">
        <v>228</v>
      </c>
      <c r="F192" s="31">
        <v>5611148470</v>
      </c>
      <c r="G192" s="32">
        <v>3.66</v>
      </c>
      <c r="H192" s="33"/>
      <c r="I192" s="34"/>
      <c r="J192" s="34">
        <f t="shared" si="12"/>
        <v>3.66</v>
      </c>
      <c r="K192" s="32">
        <v>3.66</v>
      </c>
      <c r="L192" s="33"/>
      <c r="M192" s="34"/>
      <c r="N192" s="34">
        <f t="shared" si="12"/>
        <v>3.66</v>
      </c>
      <c r="O192" s="32">
        <v>3.66</v>
      </c>
      <c r="P192" s="33"/>
      <c r="Q192" s="34"/>
      <c r="R192" s="34">
        <f t="shared" si="13"/>
        <v>3.66</v>
      </c>
      <c r="S192" s="35" t="s">
        <v>27</v>
      </c>
      <c r="T192" s="34">
        <f t="shared" si="14"/>
        <v>0.3</v>
      </c>
      <c r="U192" s="35" t="s">
        <v>27</v>
      </c>
      <c r="V192" s="34">
        <f t="shared" si="15"/>
        <v>0.3</v>
      </c>
      <c r="W192" s="35" t="s">
        <v>27</v>
      </c>
      <c r="X192" s="34">
        <f t="shared" si="16"/>
        <v>0.3</v>
      </c>
      <c r="Y192" s="36">
        <f t="shared" si="17"/>
        <v>7707960.0000000009</v>
      </c>
      <c r="Z192" s="37" t="s">
        <v>612</v>
      </c>
    </row>
    <row r="193" spans="1:26" ht="28.5" x14ac:dyDescent="0.25">
      <c r="A193" s="1" t="s">
        <v>22</v>
      </c>
      <c r="B193" s="15" t="s">
        <v>23</v>
      </c>
      <c r="C193" s="28" t="s">
        <v>24</v>
      </c>
      <c r="D193" s="29">
        <f>MAX($D$8:D192)+1</f>
        <v>175</v>
      </c>
      <c r="E193" s="100" t="s">
        <v>229</v>
      </c>
      <c r="F193" s="47">
        <v>8843369418</v>
      </c>
      <c r="G193" s="97">
        <v>5.08</v>
      </c>
      <c r="H193" s="33"/>
      <c r="I193" s="34">
        <v>0.6</v>
      </c>
      <c r="J193" s="34">
        <f t="shared" si="12"/>
        <v>5.68</v>
      </c>
      <c r="K193" s="97">
        <v>5.08</v>
      </c>
      <c r="L193" s="33"/>
      <c r="M193" s="34">
        <v>0.6</v>
      </c>
      <c r="N193" s="34">
        <f t="shared" si="12"/>
        <v>5.68</v>
      </c>
      <c r="O193" s="96">
        <v>5.42</v>
      </c>
      <c r="P193" s="33"/>
      <c r="Q193" s="34">
        <v>0.6</v>
      </c>
      <c r="R193" s="34">
        <f t="shared" si="13"/>
        <v>6.02</v>
      </c>
      <c r="S193" s="35" t="s">
        <v>26</v>
      </c>
      <c r="T193" s="34">
        <f t="shared" si="14"/>
        <v>0.5</v>
      </c>
      <c r="U193" s="35" t="s">
        <v>27</v>
      </c>
      <c r="V193" s="34">
        <f t="shared" si="15"/>
        <v>0.3</v>
      </c>
      <c r="W193" s="35" t="s">
        <v>27</v>
      </c>
      <c r="X193" s="34">
        <f t="shared" si="16"/>
        <v>0.3</v>
      </c>
      <c r="Y193" s="36">
        <f t="shared" si="17"/>
        <v>14859000</v>
      </c>
      <c r="Z193" s="37" t="s">
        <v>613</v>
      </c>
    </row>
    <row r="194" spans="1:26" ht="28.5" x14ac:dyDescent="0.25">
      <c r="A194" s="1" t="s">
        <v>22</v>
      </c>
      <c r="B194" s="15" t="s">
        <v>23</v>
      </c>
      <c r="C194" s="28" t="s">
        <v>24</v>
      </c>
      <c r="D194" s="29">
        <f>MAX($D$8:D193)+1</f>
        <v>176</v>
      </c>
      <c r="E194" s="101" t="s">
        <v>230</v>
      </c>
      <c r="F194" s="47">
        <v>5623455191</v>
      </c>
      <c r="G194" s="67">
        <v>4.9800000000000004</v>
      </c>
      <c r="H194" s="33">
        <f>G194*5%</f>
        <v>0.24900000000000003</v>
      </c>
      <c r="I194" s="34">
        <v>0.5</v>
      </c>
      <c r="J194" s="34">
        <f t="shared" si="12"/>
        <v>5.7290000000000001</v>
      </c>
      <c r="K194" s="67">
        <v>4.9800000000000004</v>
      </c>
      <c r="L194" s="33">
        <f>K194*5%</f>
        <v>0.24900000000000003</v>
      </c>
      <c r="M194" s="34">
        <v>0.5</v>
      </c>
      <c r="N194" s="34">
        <f t="shared" si="12"/>
        <v>5.7290000000000001</v>
      </c>
      <c r="O194" s="67">
        <v>4.9800000000000004</v>
      </c>
      <c r="P194" s="33">
        <f>O194*5%</f>
        <v>0.24900000000000003</v>
      </c>
      <c r="Q194" s="34">
        <v>0.5</v>
      </c>
      <c r="R194" s="34">
        <f t="shared" si="13"/>
        <v>5.7290000000000001</v>
      </c>
      <c r="S194" s="35" t="s">
        <v>27</v>
      </c>
      <c r="T194" s="34">
        <f t="shared" si="14"/>
        <v>0.3</v>
      </c>
      <c r="U194" s="35" t="s">
        <v>27</v>
      </c>
      <c r="V194" s="34">
        <f t="shared" si="15"/>
        <v>0.3</v>
      </c>
      <c r="W194" s="35" t="s">
        <v>27</v>
      </c>
      <c r="X194" s="34">
        <f t="shared" si="16"/>
        <v>0.3</v>
      </c>
      <c r="Y194" s="36">
        <f t="shared" si="17"/>
        <v>12065273.999999998</v>
      </c>
      <c r="Z194" s="37" t="s">
        <v>614</v>
      </c>
    </row>
    <row r="195" spans="1:26" ht="28.5" x14ac:dyDescent="0.25">
      <c r="A195" s="1" t="s">
        <v>22</v>
      </c>
      <c r="B195" s="15" t="s">
        <v>23</v>
      </c>
      <c r="C195" s="28" t="s">
        <v>24</v>
      </c>
      <c r="D195" s="29">
        <f>MAX($D$8:D194)+1</f>
        <v>177</v>
      </c>
      <c r="E195" s="50" t="s">
        <v>231</v>
      </c>
      <c r="F195" s="47">
        <v>8813369423</v>
      </c>
      <c r="G195" s="52">
        <v>3.99</v>
      </c>
      <c r="H195" s="52"/>
      <c r="I195" s="52"/>
      <c r="J195" s="34">
        <f t="shared" si="12"/>
        <v>3.99</v>
      </c>
      <c r="K195" s="52">
        <v>3.99</v>
      </c>
      <c r="L195" s="52"/>
      <c r="M195" s="52"/>
      <c r="N195" s="34">
        <f t="shared" si="12"/>
        <v>3.99</v>
      </c>
      <c r="O195" s="52">
        <v>3.99</v>
      </c>
      <c r="P195" s="52"/>
      <c r="Q195" s="52"/>
      <c r="R195" s="34">
        <f t="shared" si="13"/>
        <v>3.99</v>
      </c>
      <c r="S195" s="35" t="s">
        <v>77</v>
      </c>
      <c r="T195" s="34">
        <f t="shared" si="14"/>
        <v>0</v>
      </c>
      <c r="U195" s="35" t="s">
        <v>77</v>
      </c>
      <c r="V195" s="34">
        <f t="shared" si="15"/>
        <v>0</v>
      </c>
      <c r="W195" s="35" t="s">
        <v>77</v>
      </c>
      <c r="X195" s="34">
        <f t="shared" si="16"/>
        <v>0</v>
      </c>
      <c r="Y195" s="36">
        <f t="shared" si="17"/>
        <v>0</v>
      </c>
      <c r="Z195" s="37" t="s">
        <v>615</v>
      </c>
    </row>
    <row r="196" spans="1:26" ht="28.5" x14ac:dyDescent="0.25">
      <c r="A196" s="1" t="s">
        <v>22</v>
      </c>
      <c r="B196" s="15" t="s">
        <v>23</v>
      </c>
      <c r="C196" s="28" t="s">
        <v>24</v>
      </c>
      <c r="D196" s="29">
        <f>MAX($D$8:D195)+1</f>
        <v>178</v>
      </c>
      <c r="E196" s="102" t="s">
        <v>232</v>
      </c>
      <c r="F196" s="47">
        <v>5623455243</v>
      </c>
      <c r="G196" s="52">
        <v>3.33</v>
      </c>
      <c r="H196" s="52"/>
      <c r="I196" s="52"/>
      <c r="J196" s="34">
        <f t="shared" si="12"/>
        <v>3.33</v>
      </c>
      <c r="K196" s="52">
        <v>3.33</v>
      </c>
      <c r="L196" s="52"/>
      <c r="M196" s="52"/>
      <c r="N196" s="34">
        <f t="shared" si="12"/>
        <v>3.33</v>
      </c>
      <c r="O196" s="52">
        <v>3.33</v>
      </c>
      <c r="P196" s="52"/>
      <c r="Q196" s="52"/>
      <c r="R196" s="34">
        <f t="shared" si="13"/>
        <v>3.33</v>
      </c>
      <c r="S196" s="35" t="s">
        <v>27</v>
      </c>
      <c r="T196" s="34">
        <f t="shared" si="14"/>
        <v>0.3</v>
      </c>
      <c r="U196" s="35" t="s">
        <v>27</v>
      </c>
      <c r="V196" s="34">
        <f t="shared" si="15"/>
        <v>0.3</v>
      </c>
      <c r="W196" s="35" t="s">
        <v>27</v>
      </c>
      <c r="X196" s="34">
        <f t="shared" si="16"/>
        <v>0.3</v>
      </c>
      <c r="Y196" s="36">
        <f t="shared" si="17"/>
        <v>7012980</v>
      </c>
      <c r="Z196" s="37" t="s">
        <v>616</v>
      </c>
    </row>
    <row r="197" spans="1:26" ht="28.5" x14ac:dyDescent="0.25">
      <c r="A197" s="1" t="s">
        <v>22</v>
      </c>
      <c r="B197" s="15" t="s">
        <v>23</v>
      </c>
      <c r="C197" s="28" t="s">
        <v>24</v>
      </c>
      <c r="D197" s="29">
        <f>MAX($D$8:D196)+1</f>
        <v>179</v>
      </c>
      <c r="E197" s="103" t="s">
        <v>233</v>
      </c>
      <c r="F197" s="47">
        <v>8853369408</v>
      </c>
      <c r="G197" s="52">
        <v>3.33</v>
      </c>
      <c r="H197" s="52"/>
      <c r="I197" s="52"/>
      <c r="J197" s="34">
        <f t="shared" si="12"/>
        <v>3.33</v>
      </c>
      <c r="K197" s="52">
        <v>3.33</v>
      </c>
      <c r="L197" s="52"/>
      <c r="M197" s="52"/>
      <c r="N197" s="34">
        <f t="shared" si="12"/>
        <v>3.33</v>
      </c>
      <c r="O197" s="52">
        <v>3.33</v>
      </c>
      <c r="P197" s="52"/>
      <c r="Q197" s="52"/>
      <c r="R197" s="34">
        <f t="shared" si="13"/>
        <v>3.33</v>
      </c>
      <c r="S197" s="35" t="s">
        <v>27</v>
      </c>
      <c r="T197" s="34">
        <f t="shared" si="14"/>
        <v>0.3</v>
      </c>
      <c r="U197" s="35" t="s">
        <v>27</v>
      </c>
      <c r="V197" s="34">
        <f t="shared" si="15"/>
        <v>0.3</v>
      </c>
      <c r="W197" s="35" t="s">
        <v>27</v>
      </c>
      <c r="X197" s="34">
        <f t="shared" si="16"/>
        <v>0.3</v>
      </c>
      <c r="Y197" s="36">
        <f t="shared" si="17"/>
        <v>7012980</v>
      </c>
      <c r="Z197" s="37" t="s">
        <v>617</v>
      </c>
    </row>
    <row r="198" spans="1:26" ht="28.5" x14ac:dyDescent="0.25">
      <c r="A198" s="1" t="s">
        <v>22</v>
      </c>
      <c r="B198" s="15" t="s">
        <v>23</v>
      </c>
      <c r="C198" s="28" t="s">
        <v>24</v>
      </c>
      <c r="D198" s="29">
        <f>MAX($D$8:D197)+1</f>
        <v>180</v>
      </c>
      <c r="E198" s="104" t="s">
        <v>234</v>
      </c>
      <c r="F198" s="47">
        <v>8853279085</v>
      </c>
      <c r="G198" s="97">
        <f t="shared" ref="G198:O199" si="18">2.34</f>
        <v>2.34</v>
      </c>
      <c r="H198" s="97"/>
      <c r="I198" s="97"/>
      <c r="J198" s="34">
        <f t="shared" si="12"/>
        <v>2.34</v>
      </c>
      <c r="K198" s="97">
        <f t="shared" si="18"/>
        <v>2.34</v>
      </c>
      <c r="L198" s="97"/>
      <c r="M198" s="97"/>
      <c r="N198" s="34">
        <f t="shared" si="12"/>
        <v>2.34</v>
      </c>
      <c r="O198" s="97">
        <f t="shared" si="18"/>
        <v>2.34</v>
      </c>
      <c r="P198" s="97"/>
      <c r="Q198" s="97"/>
      <c r="R198" s="34">
        <f t="shared" si="13"/>
        <v>2.34</v>
      </c>
      <c r="S198" s="35" t="s">
        <v>27</v>
      </c>
      <c r="T198" s="34">
        <f t="shared" si="14"/>
        <v>0.3</v>
      </c>
      <c r="U198" s="35" t="s">
        <v>27</v>
      </c>
      <c r="V198" s="34">
        <f t="shared" si="15"/>
        <v>0.3</v>
      </c>
      <c r="W198" s="35" t="s">
        <v>27</v>
      </c>
      <c r="X198" s="34">
        <f t="shared" si="16"/>
        <v>0.3</v>
      </c>
      <c r="Y198" s="36">
        <f t="shared" si="17"/>
        <v>4928040</v>
      </c>
      <c r="Z198" s="37" t="s">
        <v>618</v>
      </c>
    </row>
    <row r="199" spans="1:26" ht="28.5" x14ac:dyDescent="0.25">
      <c r="A199" s="1" t="s">
        <v>22</v>
      </c>
      <c r="B199" s="15" t="s">
        <v>23</v>
      </c>
      <c r="C199" s="28" t="s">
        <v>24</v>
      </c>
      <c r="D199" s="29">
        <f>MAX($D$8:D198)+1</f>
        <v>181</v>
      </c>
      <c r="E199" s="100" t="s">
        <v>235</v>
      </c>
      <c r="F199" s="47">
        <v>8853278884</v>
      </c>
      <c r="G199" s="97">
        <f t="shared" si="18"/>
        <v>2.34</v>
      </c>
      <c r="H199" s="97"/>
      <c r="I199" s="97"/>
      <c r="J199" s="34">
        <f t="shared" si="12"/>
        <v>2.34</v>
      </c>
      <c r="K199" s="97">
        <f t="shared" si="18"/>
        <v>2.34</v>
      </c>
      <c r="L199" s="97"/>
      <c r="M199" s="97"/>
      <c r="N199" s="34">
        <f t="shared" si="12"/>
        <v>2.34</v>
      </c>
      <c r="O199" s="97">
        <f t="shared" si="18"/>
        <v>2.34</v>
      </c>
      <c r="P199" s="97"/>
      <c r="Q199" s="97"/>
      <c r="R199" s="34">
        <f t="shared" si="13"/>
        <v>2.34</v>
      </c>
      <c r="S199" s="35" t="s">
        <v>27</v>
      </c>
      <c r="T199" s="34">
        <f t="shared" si="14"/>
        <v>0.3</v>
      </c>
      <c r="U199" s="35" t="s">
        <v>27</v>
      </c>
      <c r="V199" s="34">
        <f t="shared" si="15"/>
        <v>0.3</v>
      </c>
      <c r="W199" s="35" t="s">
        <v>27</v>
      </c>
      <c r="X199" s="34">
        <f t="shared" si="16"/>
        <v>0.3</v>
      </c>
      <c r="Y199" s="36">
        <f t="shared" si="17"/>
        <v>4928040</v>
      </c>
      <c r="Z199" s="37" t="s">
        <v>619</v>
      </c>
    </row>
    <row r="200" spans="1:26" ht="28.5" x14ac:dyDescent="0.25">
      <c r="A200" s="1" t="s">
        <v>22</v>
      </c>
      <c r="B200" s="15" t="s">
        <v>23</v>
      </c>
      <c r="C200" s="28" t="s">
        <v>24</v>
      </c>
      <c r="D200" s="29">
        <f>MAX($D$8:D199)+1</f>
        <v>182</v>
      </c>
      <c r="E200" s="46" t="s">
        <v>236</v>
      </c>
      <c r="F200" s="47">
        <v>8863369404</v>
      </c>
      <c r="G200" s="51">
        <v>3</v>
      </c>
      <c r="H200" s="51"/>
      <c r="I200" s="51"/>
      <c r="J200" s="34">
        <f t="shared" si="12"/>
        <v>3</v>
      </c>
      <c r="K200" s="52">
        <v>3</v>
      </c>
      <c r="L200" s="52"/>
      <c r="M200" s="52"/>
      <c r="N200" s="34">
        <f t="shared" si="12"/>
        <v>3</v>
      </c>
      <c r="O200" s="52">
        <v>3</v>
      </c>
      <c r="P200" s="52"/>
      <c r="Q200" s="52"/>
      <c r="R200" s="34">
        <f t="shared" si="13"/>
        <v>3</v>
      </c>
      <c r="S200" s="35" t="s">
        <v>27</v>
      </c>
      <c r="T200" s="34">
        <f t="shared" si="14"/>
        <v>0.3</v>
      </c>
      <c r="U200" s="35" t="s">
        <v>27</v>
      </c>
      <c r="V200" s="34">
        <f t="shared" si="15"/>
        <v>0.3</v>
      </c>
      <c r="W200" s="35" t="s">
        <v>27</v>
      </c>
      <c r="X200" s="34">
        <f t="shared" si="16"/>
        <v>0.3</v>
      </c>
      <c r="Y200" s="36">
        <f t="shared" si="17"/>
        <v>6317999.9999999991</v>
      </c>
      <c r="Z200" s="37" t="s">
        <v>620</v>
      </c>
    </row>
    <row r="201" spans="1:26" ht="28.5" x14ac:dyDescent="0.25">
      <c r="A201" s="1" t="s">
        <v>22</v>
      </c>
      <c r="B201" s="15" t="s">
        <v>23</v>
      </c>
      <c r="C201" s="28" t="s">
        <v>24</v>
      </c>
      <c r="D201" s="29">
        <f>MAX($D$8:D200)+1</f>
        <v>183</v>
      </c>
      <c r="E201" s="49" t="s">
        <v>237</v>
      </c>
      <c r="F201" s="31">
        <v>5611150961</v>
      </c>
      <c r="G201" s="32">
        <v>3.66</v>
      </c>
      <c r="H201" s="32"/>
      <c r="I201" s="32"/>
      <c r="J201" s="34">
        <f t="shared" si="12"/>
        <v>3.66</v>
      </c>
      <c r="K201" s="32">
        <v>3.66</v>
      </c>
      <c r="L201" s="32"/>
      <c r="M201" s="32"/>
      <c r="N201" s="34">
        <f t="shared" si="12"/>
        <v>3.66</v>
      </c>
      <c r="O201" s="32">
        <v>3.66</v>
      </c>
      <c r="P201" s="32"/>
      <c r="Q201" s="32"/>
      <c r="R201" s="34">
        <f t="shared" si="13"/>
        <v>3.66</v>
      </c>
      <c r="S201" s="35" t="s">
        <v>27</v>
      </c>
      <c r="T201" s="34">
        <f t="shared" si="14"/>
        <v>0.3</v>
      </c>
      <c r="U201" s="35" t="s">
        <v>27</v>
      </c>
      <c r="V201" s="34">
        <f t="shared" si="15"/>
        <v>0.3</v>
      </c>
      <c r="W201" s="35" t="s">
        <v>27</v>
      </c>
      <c r="X201" s="34">
        <f t="shared" si="16"/>
        <v>0.3</v>
      </c>
      <c r="Y201" s="36">
        <f t="shared" si="17"/>
        <v>7707960.0000000009</v>
      </c>
      <c r="Z201" s="37" t="s">
        <v>621</v>
      </c>
    </row>
    <row r="202" spans="1:26" ht="28.5" x14ac:dyDescent="0.25">
      <c r="A202" s="1" t="s">
        <v>22</v>
      </c>
      <c r="B202" s="15" t="s">
        <v>23</v>
      </c>
      <c r="C202" s="28" t="s">
        <v>24</v>
      </c>
      <c r="D202" s="29">
        <f>MAX($D$8:D201)+1</f>
        <v>184</v>
      </c>
      <c r="E202" s="49" t="s">
        <v>238</v>
      </c>
      <c r="F202" s="31">
        <v>5611148416</v>
      </c>
      <c r="G202" s="32">
        <v>3.33</v>
      </c>
      <c r="H202" s="32"/>
      <c r="I202" s="32"/>
      <c r="J202" s="34">
        <f t="shared" ref="J202:N265" si="19">G202+H202+I202</f>
        <v>3.33</v>
      </c>
      <c r="K202" s="32">
        <v>3.33</v>
      </c>
      <c r="L202" s="32"/>
      <c r="M202" s="32"/>
      <c r="N202" s="34">
        <f t="shared" si="19"/>
        <v>3.33</v>
      </c>
      <c r="O202" s="32">
        <v>3.33</v>
      </c>
      <c r="P202" s="32"/>
      <c r="Q202" s="32"/>
      <c r="R202" s="34">
        <f t="shared" ref="R202:R265" si="20">O202+P202+Q202</f>
        <v>3.33</v>
      </c>
      <c r="S202" s="35" t="s">
        <v>27</v>
      </c>
      <c r="T202" s="34">
        <f t="shared" ref="T202:T265" si="21">IF(S202="hoàn thành xuất sắc nhiệm vụ",0.5,IF(S202="hoàn thành tốt nhiệm vụ",0.3,IF(S202="hoàn thành nhiệm vụ",0.1,0)))</f>
        <v>0.3</v>
      </c>
      <c r="U202" s="35" t="s">
        <v>27</v>
      </c>
      <c r="V202" s="34">
        <f t="shared" ref="V202:V265" si="22">IF(U202="hoàn thành xuất sắc nhiệm vụ",0.5,IF(U202="hoàn thành tốt nhiệm vụ",0.3,IF(U202="hoàn thành nhiệm vụ",0.1,0)))</f>
        <v>0.3</v>
      </c>
      <c r="W202" s="35" t="s">
        <v>27</v>
      </c>
      <c r="X202" s="34">
        <f t="shared" ref="X202:X265" si="23">IF(W202="hoàn thành xuất sắc nhiệm vụ",0.5,IF(W202="hoàn thành tốt nhiệm vụ",0.3,IF(W202="hoàn thành nhiệm vụ",0.1,0)))</f>
        <v>0.3</v>
      </c>
      <c r="Y202" s="36">
        <f t="shared" ref="Y202:Y265" si="24">(J202*T202+N202*V202+R202*X202)*2340000</f>
        <v>7012980</v>
      </c>
      <c r="Z202" s="37" t="s">
        <v>622</v>
      </c>
    </row>
    <row r="203" spans="1:26" ht="28.5" x14ac:dyDescent="0.25">
      <c r="A203" s="1" t="s">
        <v>22</v>
      </c>
      <c r="B203" s="15" t="s">
        <v>23</v>
      </c>
      <c r="C203" s="28" t="s">
        <v>24</v>
      </c>
      <c r="D203" s="29">
        <f>MAX($D$8:D202)+1</f>
        <v>185</v>
      </c>
      <c r="E203" s="49" t="s">
        <v>239</v>
      </c>
      <c r="F203" s="31">
        <v>5611148337</v>
      </c>
      <c r="G203" s="32">
        <v>3.03</v>
      </c>
      <c r="H203" s="32"/>
      <c r="I203" s="32"/>
      <c r="J203" s="34">
        <f t="shared" si="19"/>
        <v>3.03</v>
      </c>
      <c r="K203" s="32">
        <v>3.03</v>
      </c>
      <c r="L203" s="32"/>
      <c r="M203" s="32"/>
      <c r="N203" s="34">
        <f t="shared" si="19"/>
        <v>3.03</v>
      </c>
      <c r="O203" s="32">
        <v>3.03</v>
      </c>
      <c r="P203" s="32"/>
      <c r="Q203" s="32"/>
      <c r="R203" s="34">
        <f t="shared" si="20"/>
        <v>3.03</v>
      </c>
      <c r="S203" s="35" t="s">
        <v>27</v>
      </c>
      <c r="T203" s="34">
        <f t="shared" si="21"/>
        <v>0.3</v>
      </c>
      <c r="U203" s="35" t="s">
        <v>27</v>
      </c>
      <c r="V203" s="34">
        <f t="shared" si="22"/>
        <v>0.3</v>
      </c>
      <c r="W203" s="35" t="s">
        <v>27</v>
      </c>
      <c r="X203" s="34">
        <f t="shared" si="23"/>
        <v>0.3</v>
      </c>
      <c r="Y203" s="36">
        <f t="shared" si="24"/>
        <v>6381180</v>
      </c>
      <c r="Z203" s="37" t="s">
        <v>623</v>
      </c>
    </row>
    <row r="204" spans="1:26" ht="28.5" x14ac:dyDescent="0.25">
      <c r="A204" s="1" t="s">
        <v>22</v>
      </c>
      <c r="B204" s="15" t="s">
        <v>23</v>
      </c>
      <c r="C204" s="28" t="s">
        <v>24</v>
      </c>
      <c r="D204" s="29">
        <f>MAX($D$8:D203)+1</f>
        <v>186</v>
      </c>
      <c r="E204" s="49" t="s">
        <v>240</v>
      </c>
      <c r="F204" s="31">
        <v>5611148513</v>
      </c>
      <c r="G204" s="32">
        <v>3</v>
      </c>
      <c r="H204" s="32"/>
      <c r="I204" s="32"/>
      <c r="J204" s="34">
        <f t="shared" si="19"/>
        <v>3</v>
      </c>
      <c r="K204" s="32">
        <v>3</v>
      </c>
      <c r="L204" s="32"/>
      <c r="M204" s="32"/>
      <c r="N204" s="34">
        <f t="shared" si="19"/>
        <v>3</v>
      </c>
      <c r="O204" s="32">
        <v>3</v>
      </c>
      <c r="P204" s="32"/>
      <c r="Q204" s="32"/>
      <c r="R204" s="34">
        <f t="shared" si="20"/>
        <v>3</v>
      </c>
      <c r="S204" s="35" t="s">
        <v>27</v>
      </c>
      <c r="T204" s="34">
        <f t="shared" si="21"/>
        <v>0.3</v>
      </c>
      <c r="U204" s="35" t="s">
        <v>27</v>
      </c>
      <c r="V204" s="34">
        <f t="shared" si="22"/>
        <v>0.3</v>
      </c>
      <c r="W204" s="35" t="s">
        <v>27</v>
      </c>
      <c r="X204" s="34">
        <f t="shared" si="23"/>
        <v>0.3</v>
      </c>
      <c r="Y204" s="36">
        <f t="shared" si="24"/>
        <v>6317999.9999999991</v>
      </c>
      <c r="Z204" s="37" t="s">
        <v>624</v>
      </c>
    </row>
    <row r="205" spans="1:26" ht="28.5" x14ac:dyDescent="0.25">
      <c r="A205" s="1" t="s">
        <v>22</v>
      </c>
      <c r="B205" s="15" t="s">
        <v>23</v>
      </c>
      <c r="C205" s="28" t="s">
        <v>24</v>
      </c>
      <c r="D205" s="29">
        <f>MAX($D$8:D204)+1</f>
        <v>187</v>
      </c>
      <c r="E205" s="49" t="s">
        <v>241</v>
      </c>
      <c r="F205" s="31">
        <v>5611148373</v>
      </c>
      <c r="G205" s="32">
        <v>3</v>
      </c>
      <c r="H205" s="32"/>
      <c r="I205" s="32"/>
      <c r="J205" s="34">
        <f t="shared" si="19"/>
        <v>3</v>
      </c>
      <c r="K205" s="32">
        <v>3</v>
      </c>
      <c r="L205" s="32"/>
      <c r="M205" s="32"/>
      <c r="N205" s="34">
        <f t="shared" si="19"/>
        <v>3</v>
      </c>
      <c r="O205" s="32">
        <v>3</v>
      </c>
      <c r="P205" s="32"/>
      <c r="Q205" s="32"/>
      <c r="R205" s="34">
        <f t="shared" si="20"/>
        <v>3</v>
      </c>
      <c r="S205" s="35" t="s">
        <v>27</v>
      </c>
      <c r="T205" s="34">
        <f t="shared" si="21"/>
        <v>0.3</v>
      </c>
      <c r="U205" s="35" t="s">
        <v>27</v>
      </c>
      <c r="V205" s="34">
        <f t="shared" si="22"/>
        <v>0.3</v>
      </c>
      <c r="W205" s="35" t="s">
        <v>27</v>
      </c>
      <c r="X205" s="34">
        <f t="shared" si="23"/>
        <v>0.3</v>
      </c>
      <c r="Y205" s="36">
        <f t="shared" si="24"/>
        <v>6317999.9999999991</v>
      </c>
      <c r="Z205" s="37" t="s">
        <v>625</v>
      </c>
    </row>
    <row r="206" spans="1:26" ht="28.5" x14ac:dyDescent="0.25">
      <c r="A206" s="1" t="s">
        <v>22</v>
      </c>
      <c r="B206" s="15" t="s">
        <v>23</v>
      </c>
      <c r="C206" s="28" t="s">
        <v>24</v>
      </c>
      <c r="D206" s="29">
        <f>MAX($D$8:D205)+1</f>
        <v>188</v>
      </c>
      <c r="E206" s="45" t="s">
        <v>242</v>
      </c>
      <c r="F206" s="31">
        <v>5611148498</v>
      </c>
      <c r="G206" s="32">
        <v>3</v>
      </c>
      <c r="H206" s="32"/>
      <c r="I206" s="32"/>
      <c r="J206" s="34">
        <f t="shared" si="19"/>
        <v>3</v>
      </c>
      <c r="K206" s="32">
        <v>3</v>
      </c>
      <c r="L206" s="32"/>
      <c r="M206" s="32"/>
      <c r="N206" s="34">
        <f t="shared" si="19"/>
        <v>3</v>
      </c>
      <c r="O206" s="32">
        <v>3</v>
      </c>
      <c r="P206" s="32"/>
      <c r="Q206" s="32"/>
      <c r="R206" s="34">
        <f t="shared" si="20"/>
        <v>3</v>
      </c>
      <c r="S206" s="35" t="s">
        <v>27</v>
      </c>
      <c r="T206" s="34">
        <f t="shared" si="21"/>
        <v>0.3</v>
      </c>
      <c r="U206" s="35" t="s">
        <v>27</v>
      </c>
      <c r="V206" s="34">
        <f t="shared" si="22"/>
        <v>0.3</v>
      </c>
      <c r="W206" s="35" t="s">
        <v>27</v>
      </c>
      <c r="X206" s="34">
        <f t="shared" si="23"/>
        <v>0.3</v>
      </c>
      <c r="Y206" s="36">
        <f t="shared" si="24"/>
        <v>6317999.9999999991</v>
      </c>
      <c r="Z206" s="37" t="s">
        <v>626</v>
      </c>
    </row>
    <row r="207" spans="1:26" ht="28.5" x14ac:dyDescent="0.25">
      <c r="A207" s="1" t="s">
        <v>22</v>
      </c>
      <c r="B207" s="15" t="s">
        <v>23</v>
      </c>
      <c r="C207" s="28" t="s">
        <v>24</v>
      </c>
      <c r="D207" s="29">
        <f>MAX($D$8:D206)+1</f>
        <v>189</v>
      </c>
      <c r="E207" s="49" t="s">
        <v>243</v>
      </c>
      <c r="F207" s="31">
        <v>5611150925</v>
      </c>
      <c r="G207" s="32">
        <v>2.67</v>
      </c>
      <c r="H207" s="32"/>
      <c r="I207" s="32"/>
      <c r="J207" s="34">
        <f t="shared" si="19"/>
        <v>2.67</v>
      </c>
      <c r="K207" s="32">
        <v>2.67</v>
      </c>
      <c r="L207" s="32"/>
      <c r="M207" s="32"/>
      <c r="N207" s="34">
        <f t="shared" si="19"/>
        <v>2.67</v>
      </c>
      <c r="O207" s="32">
        <v>2.67</v>
      </c>
      <c r="P207" s="32"/>
      <c r="Q207" s="32"/>
      <c r="R207" s="34">
        <f t="shared" si="20"/>
        <v>2.67</v>
      </c>
      <c r="S207" s="35" t="s">
        <v>27</v>
      </c>
      <c r="T207" s="34">
        <f t="shared" si="21"/>
        <v>0.3</v>
      </c>
      <c r="U207" s="35" t="s">
        <v>27</v>
      </c>
      <c r="V207" s="34">
        <f t="shared" si="22"/>
        <v>0.3</v>
      </c>
      <c r="W207" s="35" t="s">
        <v>27</v>
      </c>
      <c r="X207" s="34">
        <f t="shared" si="23"/>
        <v>0.3</v>
      </c>
      <c r="Y207" s="36">
        <f t="shared" si="24"/>
        <v>5623019.9999999991</v>
      </c>
      <c r="Z207" s="37" t="s">
        <v>627</v>
      </c>
    </row>
    <row r="208" spans="1:26" ht="28.5" x14ac:dyDescent="0.25">
      <c r="A208" s="1" t="s">
        <v>22</v>
      </c>
      <c r="B208" s="15" t="s">
        <v>23</v>
      </c>
      <c r="C208" s="28" t="s">
        <v>24</v>
      </c>
      <c r="D208" s="29">
        <f>MAX($D$8:D207)+1</f>
        <v>190</v>
      </c>
      <c r="E208" s="45" t="s">
        <v>244</v>
      </c>
      <c r="F208" s="31">
        <v>5611148434</v>
      </c>
      <c r="G208" s="61">
        <v>2.66</v>
      </c>
      <c r="H208" s="61"/>
      <c r="I208" s="61"/>
      <c r="J208" s="34">
        <f t="shared" si="19"/>
        <v>2.66</v>
      </c>
      <c r="K208" s="32">
        <v>2.66</v>
      </c>
      <c r="L208" s="32"/>
      <c r="M208" s="32"/>
      <c r="N208" s="34">
        <f t="shared" si="19"/>
        <v>2.66</v>
      </c>
      <c r="O208" s="32">
        <v>2.66</v>
      </c>
      <c r="P208" s="32"/>
      <c r="Q208" s="32"/>
      <c r="R208" s="34">
        <f t="shared" si="20"/>
        <v>2.66</v>
      </c>
      <c r="S208" s="35" t="s">
        <v>27</v>
      </c>
      <c r="T208" s="34">
        <f t="shared" si="21"/>
        <v>0.3</v>
      </c>
      <c r="U208" s="35" t="s">
        <v>27</v>
      </c>
      <c r="V208" s="34">
        <f t="shared" si="22"/>
        <v>0.3</v>
      </c>
      <c r="W208" s="35" t="s">
        <v>27</v>
      </c>
      <c r="X208" s="34">
        <f t="shared" si="23"/>
        <v>0.3</v>
      </c>
      <c r="Y208" s="36">
        <f t="shared" si="24"/>
        <v>5601960</v>
      </c>
      <c r="Z208" s="37" t="s">
        <v>628</v>
      </c>
    </row>
    <row r="209" spans="1:26" ht="28.5" x14ac:dyDescent="0.25">
      <c r="A209" s="1" t="s">
        <v>22</v>
      </c>
      <c r="B209" s="15" t="s">
        <v>23</v>
      </c>
      <c r="C209" s="28" t="s">
        <v>24</v>
      </c>
      <c r="D209" s="29">
        <f>MAX($D$8:D208)+1</f>
        <v>191</v>
      </c>
      <c r="E209" s="49" t="s">
        <v>245</v>
      </c>
      <c r="F209" s="31">
        <v>5611148355</v>
      </c>
      <c r="G209" s="32">
        <v>2.46</v>
      </c>
      <c r="H209" s="32"/>
      <c r="I209" s="32"/>
      <c r="J209" s="34">
        <f t="shared" si="19"/>
        <v>2.46</v>
      </c>
      <c r="K209" s="32">
        <v>2.46</v>
      </c>
      <c r="L209" s="32"/>
      <c r="M209" s="32"/>
      <c r="N209" s="34">
        <f t="shared" si="19"/>
        <v>2.46</v>
      </c>
      <c r="O209" s="61">
        <v>2.66</v>
      </c>
      <c r="P209" s="61"/>
      <c r="Q209" s="61"/>
      <c r="R209" s="34">
        <f t="shared" si="20"/>
        <v>2.66</v>
      </c>
      <c r="S209" s="35" t="s">
        <v>27</v>
      </c>
      <c r="T209" s="34">
        <f t="shared" si="21"/>
        <v>0.3</v>
      </c>
      <c r="U209" s="35" t="s">
        <v>27</v>
      </c>
      <c r="V209" s="34">
        <f t="shared" si="22"/>
        <v>0.3</v>
      </c>
      <c r="W209" s="35" t="s">
        <v>27</v>
      </c>
      <c r="X209" s="34">
        <f t="shared" si="23"/>
        <v>0.3</v>
      </c>
      <c r="Y209" s="36">
        <f t="shared" si="24"/>
        <v>5321160</v>
      </c>
      <c r="Z209" s="37" t="s">
        <v>629</v>
      </c>
    </row>
    <row r="210" spans="1:26" ht="28.5" x14ac:dyDescent="0.25">
      <c r="A210" s="1" t="s">
        <v>22</v>
      </c>
      <c r="B210" s="15" t="s">
        <v>23</v>
      </c>
      <c r="C210" s="28" t="s">
        <v>24</v>
      </c>
      <c r="D210" s="29">
        <f>MAX($D$8:D209)+1</f>
        <v>192</v>
      </c>
      <c r="E210" s="45" t="s">
        <v>246</v>
      </c>
      <c r="F210" s="31">
        <v>5611150934</v>
      </c>
      <c r="G210" s="32">
        <v>2.66</v>
      </c>
      <c r="H210" s="32"/>
      <c r="I210" s="32"/>
      <c r="J210" s="34">
        <f t="shared" si="19"/>
        <v>2.66</v>
      </c>
      <c r="K210" s="32">
        <v>2.66</v>
      </c>
      <c r="L210" s="32"/>
      <c r="M210" s="32"/>
      <c r="N210" s="34">
        <f t="shared" si="19"/>
        <v>2.66</v>
      </c>
      <c r="O210" s="32">
        <v>2.66</v>
      </c>
      <c r="P210" s="32"/>
      <c r="Q210" s="32"/>
      <c r="R210" s="34">
        <f t="shared" si="20"/>
        <v>2.66</v>
      </c>
      <c r="S210" s="35" t="s">
        <v>27</v>
      </c>
      <c r="T210" s="34">
        <f t="shared" si="21"/>
        <v>0.3</v>
      </c>
      <c r="U210" s="35" t="s">
        <v>27</v>
      </c>
      <c r="V210" s="34">
        <f t="shared" si="22"/>
        <v>0.3</v>
      </c>
      <c r="W210" s="35" t="s">
        <v>27</v>
      </c>
      <c r="X210" s="34">
        <f t="shared" si="23"/>
        <v>0.3</v>
      </c>
      <c r="Y210" s="36">
        <f t="shared" si="24"/>
        <v>5601960</v>
      </c>
      <c r="Z210" s="37" t="s">
        <v>630</v>
      </c>
    </row>
    <row r="211" spans="1:26" ht="28.5" x14ac:dyDescent="0.25">
      <c r="A211" s="1" t="s">
        <v>22</v>
      </c>
      <c r="B211" s="15" t="s">
        <v>23</v>
      </c>
      <c r="C211" s="28" t="s">
        <v>24</v>
      </c>
      <c r="D211" s="29">
        <f>MAX($D$8:D210)+1</f>
        <v>193</v>
      </c>
      <c r="E211" s="49" t="s">
        <v>247</v>
      </c>
      <c r="F211" s="31">
        <v>5611148249</v>
      </c>
      <c r="G211" s="32">
        <v>2.67</v>
      </c>
      <c r="H211" s="32"/>
      <c r="I211" s="32"/>
      <c r="J211" s="34">
        <f t="shared" si="19"/>
        <v>2.67</v>
      </c>
      <c r="K211" s="32">
        <v>2.67</v>
      </c>
      <c r="L211" s="32"/>
      <c r="M211" s="32"/>
      <c r="N211" s="34">
        <f t="shared" si="19"/>
        <v>2.67</v>
      </c>
      <c r="O211" s="32">
        <v>2.67</v>
      </c>
      <c r="P211" s="32"/>
      <c r="Q211" s="32"/>
      <c r="R211" s="34">
        <f t="shared" si="20"/>
        <v>2.67</v>
      </c>
      <c r="S211" s="35" t="s">
        <v>27</v>
      </c>
      <c r="T211" s="34">
        <f t="shared" si="21"/>
        <v>0.3</v>
      </c>
      <c r="U211" s="35" t="s">
        <v>27</v>
      </c>
      <c r="V211" s="34">
        <f t="shared" si="22"/>
        <v>0.3</v>
      </c>
      <c r="W211" s="35" t="s">
        <v>27</v>
      </c>
      <c r="X211" s="34">
        <f t="shared" si="23"/>
        <v>0.3</v>
      </c>
      <c r="Y211" s="36">
        <f t="shared" si="24"/>
        <v>5623019.9999999991</v>
      </c>
      <c r="Z211" s="37" t="s">
        <v>631</v>
      </c>
    </row>
    <row r="212" spans="1:26" ht="28.5" x14ac:dyDescent="0.25">
      <c r="A212" s="1" t="s">
        <v>22</v>
      </c>
      <c r="B212" s="15" t="s">
        <v>23</v>
      </c>
      <c r="C212" s="28" t="s">
        <v>24</v>
      </c>
      <c r="D212" s="29">
        <f>MAX($D$8:D211)+1</f>
        <v>194</v>
      </c>
      <c r="E212" s="45" t="s">
        <v>248</v>
      </c>
      <c r="F212" s="31">
        <v>5611148443</v>
      </c>
      <c r="G212" s="32">
        <v>2.66</v>
      </c>
      <c r="H212" s="32"/>
      <c r="I212" s="32"/>
      <c r="J212" s="34">
        <f t="shared" si="19"/>
        <v>2.66</v>
      </c>
      <c r="K212" s="32">
        <v>2.66</v>
      </c>
      <c r="L212" s="32"/>
      <c r="M212" s="32"/>
      <c r="N212" s="34">
        <f t="shared" si="19"/>
        <v>2.66</v>
      </c>
      <c r="O212" s="32">
        <v>2.66</v>
      </c>
      <c r="P212" s="32"/>
      <c r="Q212" s="32"/>
      <c r="R212" s="34">
        <f t="shared" si="20"/>
        <v>2.66</v>
      </c>
      <c r="S212" s="35" t="s">
        <v>27</v>
      </c>
      <c r="T212" s="34">
        <f t="shared" si="21"/>
        <v>0.3</v>
      </c>
      <c r="U212" s="35" t="s">
        <v>27</v>
      </c>
      <c r="V212" s="34">
        <f t="shared" si="22"/>
        <v>0.3</v>
      </c>
      <c r="W212" s="35" t="s">
        <v>27</v>
      </c>
      <c r="X212" s="34">
        <f t="shared" si="23"/>
        <v>0.3</v>
      </c>
      <c r="Y212" s="36">
        <f t="shared" si="24"/>
        <v>5601960</v>
      </c>
      <c r="Z212" s="37" t="s">
        <v>632</v>
      </c>
    </row>
    <row r="213" spans="1:26" ht="28.5" x14ac:dyDescent="0.25">
      <c r="A213" s="1" t="s">
        <v>22</v>
      </c>
      <c r="B213" s="15" t="s">
        <v>23</v>
      </c>
      <c r="C213" s="28" t="s">
        <v>24</v>
      </c>
      <c r="D213" s="29">
        <f>MAX($D$8:D212)+1</f>
        <v>195</v>
      </c>
      <c r="E213" s="49" t="s">
        <v>249</v>
      </c>
      <c r="F213" s="31">
        <v>5611151043</v>
      </c>
      <c r="G213" s="32">
        <v>3</v>
      </c>
      <c r="H213" s="32"/>
      <c r="I213" s="32"/>
      <c r="J213" s="34">
        <f t="shared" si="19"/>
        <v>3</v>
      </c>
      <c r="K213" s="32">
        <v>3</v>
      </c>
      <c r="L213" s="32"/>
      <c r="M213" s="32"/>
      <c r="N213" s="34">
        <f t="shared" si="19"/>
        <v>3</v>
      </c>
      <c r="O213" s="32">
        <v>3</v>
      </c>
      <c r="P213" s="32"/>
      <c r="Q213" s="32"/>
      <c r="R213" s="34">
        <f t="shared" si="20"/>
        <v>3</v>
      </c>
      <c r="S213" s="35" t="s">
        <v>27</v>
      </c>
      <c r="T213" s="34">
        <f t="shared" si="21"/>
        <v>0.3</v>
      </c>
      <c r="U213" s="35" t="s">
        <v>27</v>
      </c>
      <c r="V213" s="34">
        <f t="shared" si="22"/>
        <v>0.3</v>
      </c>
      <c r="W213" s="35" t="s">
        <v>27</v>
      </c>
      <c r="X213" s="34">
        <f t="shared" si="23"/>
        <v>0.3</v>
      </c>
      <c r="Y213" s="36">
        <f t="shared" si="24"/>
        <v>6317999.9999999991</v>
      </c>
      <c r="Z213" s="37" t="s">
        <v>633</v>
      </c>
    </row>
    <row r="214" spans="1:26" x14ac:dyDescent="0.25">
      <c r="B214" s="15"/>
      <c r="C214" s="28"/>
      <c r="D214" s="29" t="s">
        <v>20</v>
      </c>
      <c r="E214" s="44" t="s">
        <v>250</v>
      </c>
      <c r="F214" s="31"/>
      <c r="G214" s="32"/>
      <c r="H214" s="32"/>
      <c r="I214" s="32"/>
      <c r="J214" s="34"/>
      <c r="K214" s="32"/>
      <c r="L214" s="32"/>
      <c r="M214" s="32"/>
      <c r="N214" s="34"/>
      <c r="O214" s="32"/>
      <c r="P214" s="32"/>
      <c r="Q214" s="32"/>
      <c r="R214" s="34"/>
      <c r="S214" s="35"/>
      <c r="T214" s="34"/>
      <c r="U214" s="35"/>
      <c r="V214" s="34"/>
      <c r="W214" s="35"/>
      <c r="X214" s="34"/>
      <c r="Y214" s="36"/>
      <c r="Z214" s="37"/>
    </row>
    <row r="215" spans="1:26" ht="28.5" x14ac:dyDescent="0.25">
      <c r="A215" s="1" t="s">
        <v>22</v>
      </c>
      <c r="B215" s="15" t="s">
        <v>23</v>
      </c>
      <c r="C215" s="28" t="s">
        <v>251</v>
      </c>
      <c r="D215" s="29">
        <f>MAX($D$8:D214)+1</f>
        <v>196</v>
      </c>
      <c r="E215" s="62" t="s">
        <v>252</v>
      </c>
      <c r="F215" s="47">
        <v>8813373268</v>
      </c>
      <c r="G215" s="47">
        <v>4.32</v>
      </c>
      <c r="H215" s="47"/>
      <c r="I215" s="47"/>
      <c r="J215" s="34">
        <f t="shared" si="19"/>
        <v>4.32</v>
      </c>
      <c r="K215" s="47">
        <v>4.32</v>
      </c>
      <c r="L215" s="47"/>
      <c r="M215" s="47"/>
      <c r="N215" s="34">
        <f t="shared" si="19"/>
        <v>4.32</v>
      </c>
      <c r="O215" s="47">
        <v>4.32</v>
      </c>
      <c r="P215" s="47"/>
      <c r="Q215" s="47"/>
      <c r="R215" s="34">
        <f t="shared" si="20"/>
        <v>4.32</v>
      </c>
      <c r="S215" s="35" t="s">
        <v>27</v>
      </c>
      <c r="T215" s="34">
        <f t="shared" si="21"/>
        <v>0.3</v>
      </c>
      <c r="U215" s="35" t="s">
        <v>27</v>
      </c>
      <c r="V215" s="34">
        <f t="shared" si="22"/>
        <v>0.3</v>
      </c>
      <c r="W215" s="35" t="s">
        <v>27</v>
      </c>
      <c r="X215" s="34">
        <f t="shared" si="23"/>
        <v>0.3</v>
      </c>
      <c r="Y215" s="36">
        <f t="shared" si="24"/>
        <v>9097920</v>
      </c>
      <c r="Z215" s="37" t="s">
        <v>634</v>
      </c>
    </row>
    <row r="216" spans="1:26" ht="28.5" x14ac:dyDescent="0.25">
      <c r="A216" s="1" t="s">
        <v>22</v>
      </c>
      <c r="B216" s="15" t="s">
        <v>23</v>
      </c>
      <c r="C216" s="28" t="s">
        <v>251</v>
      </c>
      <c r="D216" s="29">
        <f>MAX($D$8:D215)+1</f>
        <v>197</v>
      </c>
      <c r="E216" s="62" t="s">
        <v>253</v>
      </c>
      <c r="F216" s="47">
        <v>8833373269</v>
      </c>
      <c r="G216" s="105">
        <v>3.33</v>
      </c>
      <c r="H216" s="105"/>
      <c r="I216" s="105"/>
      <c r="J216" s="34">
        <f t="shared" si="19"/>
        <v>3.33</v>
      </c>
      <c r="K216" s="78">
        <v>3.33</v>
      </c>
      <c r="L216" s="78"/>
      <c r="M216" s="78"/>
      <c r="N216" s="34">
        <f t="shared" si="19"/>
        <v>3.33</v>
      </c>
      <c r="O216" s="78">
        <v>3.33</v>
      </c>
      <c r="P216" s="78"/>
      <c r="Q216" s="78"/>
      <c r="R216" s="34">
        <f t="shared" si="20"/>
        <v>3.33</v>
      </c>
      <c r="S216" s="35" t="s">
        <v>27</v>
      </c>
      <c r="T216" s="34">
        <f t="shared" si="21"/>
        <v>0.3</v>
      </c>
      <c r="U216" s="35" t="s">
        <v>27</v>
      </c>
      <c r="V216" s="34">
        <f t="shared" si="22"/>
        <v>0.3</v>
      </c>
      <c r="W216" s="35" t="s">
        <v>27</v>
      </c>
      <c r="X216" s="34">
        <f t="shared" si="23"/>
        <v>0.3</v>
      </c>
      <c r="Y216" s="36">
        <f t="shared" si="24"/>
        <v>7012980</v>
      </c>
      <c r="Z216" s="37" t="s">
        <v>635</v>
      </c>
    </row>
    <row r="217" spans="1:26" ht="28.5" x14ac:dyDescent="0.25">
      <c r="A217" s="1" t="s">
        <v>22</v>
      </c>
      <c r="B217" s="15" t="s">
        <v>23</v>
      </c>
      <c r="C217" s="28" t="s">
        <v>251</v>
      </c>
      <c r="D217" s="29">
        <f>MAX($D$8:D216)+1</f>
        <v>198</v>
      </c>
      <c r="E217" s="62" t="s">
        <v>254</v>
      </c>
      <c r="F217" s="47">
        <v>8823373279</v>
      </c>
      <c r="G217" s="78">
        <v>2.67</v>
      </c>
      <c r="H217" s="78"/>
      <c r="I217" s="78"/>
      <c r="J217" s="34">
        <f t="shared" si="19"/>
        <v>2.67</v>
      </c>
      <c r="K217" s="78">
        <v>2.67</v>
      </c>
      <c r="L217" s="78"/>
      <c r="M217" s="78"/>
      <c r="N217" s="34">
        <f t="shared" si="19"/>
        <v>2.67</v>
      </c>
      <c r="O217" s="78">
        <v>2.67</v>
      </c>
      <c r="P217" s="78"/>
      <c r="Q217" s="78"/>
      <c r="R217" s="34">
        <f t="shared" si="20"/>
        <v>2.67</v>
      </c>
      <c r="S217" s="35" t="s">
        <v>27</v>
      </c>
      <c r="T217" s="34">
        <f t="shared" si="21"/>
        <v>0.3</v>
      </c>
      <c r="U217" s="35" t="s">
        <v>27</v>
      </c>
      <c r="V217" s="34">
        <f t="shared" si="22"/>
        <v>0.3</v>
      </c>
      <c r="W217" s="35" t="s">
        <v>27</v>
      </c>
      <c r="X217" s="34">
        <f t="shared" si="23"/>
        <v>0.3</v>
      </c>
      <c r="Y217" s="36">
        <f t="shared" si="24"/>
        <v>5623019.9999999991</v>
      </c>
      <c r="Z217" s="37" t="s">
        <v>636</v>
      </c>
    </row>
    <row r="218" spans="1:26" ht="28.5" x14ac:dyDescent="0.25">
      <c r="A218" s="1" t="s">
        <v>22</v>
      </c>
      <c r="B218" s="15" t="s">
        <v>23</v>
      </c>
      <c r="C218" s="28" t="s">
        <v>251</v>
      </c>
      <c r="D218" s="29">
        <f>MAX($D$8:D217)+1</f>
        <v>199</v>
      </c>
      <c r="E218" s="64" t="s">
        <v>255</v>
      </c>
      <c r="F218" s="31">
        <v>5610080056</v>
      </c>
      <c r="G218" s="32">
        <v>4.9800000000000004</v>
      </c>
      <c r="H218" s="32"/>
      <c r="I218" s="34">
        <v>0.6</v>
      </c>
      <c r="J218" s="34">
        <f t="shared" si="19"/>
        <v>5.58</v>
      </c>
      <c r="K218" s="32">
        <v>4.9800000000000004</v>
      </c>
      <c r="L218" s="32"/>
      <c r="M218" s="34">
        <v>0.6</v>
      </c>
      <c r="N218" s="34">
        <f t="shared" si="19"/>
        <v>5.58</v>
      </c>
      <c r="O218" s="32">
        <v>4.9800000000000004</v>
      </c>
      <c r="P218" s="32"/>
      <c r="Q218" s="34">
        <v>0.6</v>
      </c>
      <c r="R218" s="34">
        <f t="shared" si="20"/>
        <v>5.58</v>
      </c>
      <c r="S218" s="35" t="s">
        <v>27</v>
      </c>
      <c r="T218" s="34">
        <f t="shared" si="21"/>
        <v>0.3</v>
      </c>
      <c r="U218" s="35" t="s">
        <v>27</v>
      </c>
      <c r="V218" s="34">
        <f t="shared" si="22"/>
        <v>0.3</v>
      </c>
      <c r="W218" s="35" t="s">
        <v>27</v>
      </c>
      <c r="X218" s="34">
        <f t="shared" si="23"/>
        <v>0.3</v>
      </c>
      <c r="Y218" s="36">
        <f t="shared" si="24"/>
        <v>11751480</v>
      </c>
      <c r="Z218" s="37" t="s">
        <v>637</v>
      </c>
    </row>
    <row r="219" spans="1:26" ht="28.5" x14ac:dyDescent="0.25">
      <c r="A219" s="1" t="s">
        <v>22</v>
      </c>
      <c r="B219" s="15" t="s">
        <v>23</v>
      </c>
      <c r="C219" s="28" t="s">
        <v>251</v>
      </c>
      <c r="D219" s="29">
        <f>MAX($D$8:D218)+1</f>
        <v>200</v>
      </c>
      <c r="E219" s="30" t="s">
        <v>256</v>
      </c>
      <c r="F219" s="31">
        <v>5610277496</v>
      </c>
      <c r="G219" s="32">
        <v>4.6500000000000004</v>
      </c>
      <c r="H219" s="32"/>
      <c r="I219" s="34">
        <v>0.5</v>
      </c>
      <c r="J219" s="34">
        <f t="shared" si="19"/>
        <v>5.15</v>
      </c>
      <c r="K219" s="32">
        <v>4.6500000000000004</v>
      </c>
      <c r="L219" s="32"/>
      <c r="M219" s="34">
        <v>0.5</v>
      </c>
      <c r="N219" s="34">
        <f t="shared" si="19"/>
        <v>5.15</v>
      </c>
      <c r="O219" s="32">
        <v>4.6500000000000004</v>
      </c>
      <c r="P219" s="32"/>
      <c r="Q219" s="34">
        <v>0.5</v>
      </c>
      <c r="R219" s="34">
        <f t="shared" si="20"/>
        <v>5.15</v>
      </c>
      <c r="S219" s="35" t="s">
        <v>27</v>
      </c>
      <c r="T219" s="34">
        <f t="shared" si="21"/>
        <v>0.3</v>
      </c>
      <c r="U219" s="35" t="s">
        <v>26</v>
      </c>
      <c r="V219" s="34">
        <f t="shared" si="22"/>
        <v>0.5</v>
      </c>
      <c r="W219" s="35" t="s">
        <v>27</v>
      </c>
      <c r="X219" s="34">
        <f t="shared" si="23"/>
        <v>0.3</v>
      </c>
      <c r="Y219" s="36">
        <f t="shared" si="24"/>
        <v>13256100</v>
      </c>
      <c r="Z219" s="37" t="s">
        <v>638</v>
      </c>
    </row>
    <row r="220" spans="1:26" ht="28.5" x14ac:dyDescent="0.25">
      <c r="A220" s="1" t="s">
        <v>22</v>
      </c>
      <c r="B220" s="15" t="s">
        <v>23</v>
      </c>
      <c r="C220" s="28" t="s">
        <v>251</v>
      </c>
      <c r="D220" s="29">
        <f>MAX($D$8:D219)+1</f>
        <v>201</v>
      </c>
      <c r="E220" s="64" t="s">
        <v>257</v>
      </c>
      <c r="F220" s="31">
        <v>5610277502</v>
      </c>
      <c r="G220" s="32">
        <v>4.9800000000000004</v>
      </c>
      <c r="H220" s="32"/>
      <c r="I220" s="32"/>
      <c r="J220" s="34">
        <f t="shared" si="19"/>
        <v>4.9800000000000004</v>
      </c>
      <c r="K220" s="32">
        <v>4.9800000000000004</v>
      </c>
      <c r="L220" s="32"/>
      <c r="M220" s="32"/>
      <c r="N220" s="34">
        <f t="shared" si="19"/>
        <v>4.9800000000000004</v>
      </c>
      <c r="O220" s="32">
        <v>4.9800000000000004</v>
      </c>
      <c r="P220" s="32"/>
      <c r="Q220" s="32"/>
      <c r="R220" s="34">
        <f t="shared" si="20"/>
        <v>4.9800000000000004</v>
      </c>
      <c r="S220" s="35" t="s">
        <v>27</v>
      </c>
      <c r="T220" s="34">
        <f t="shared" si="21"/>
        <v>0.3</v>
      </c>
      <c r="U220" s="35" t="s">
        <v>27</v>
      </c>
      <c r="V220" s="34">
        <f t="shared" si="22"/>
        <v>0.3</v>
      </c>
      <c r="W220" s="35" t="s">
        <v>27</v>
      </c>
      <c r="X220" s="34">
        <f t="shared" si="23"/>
        <v>0.3</v>
      </c>
      <c r="Y220" s="36">
        <f t="shared" si="24"/>
        <v>10487880</v>
      </c>
      <c r="Z220" s="37" t="s">
        <v>639</v>
      </c>
    </row>
    <row r="221" spans="1:26" ht="28.5" x14ac:dyDescent="0.25">
      <c r="A221" s="1" t="s">
        <v>22</v>
      </c>
      <c r="B221" s="15" t="s">
        <v>23</v>
      </c>
      <c r="C221" s="28" t="s">
        <v>251</v>
      </c>
      <c r="D221" s="29">
        <f>MAX($D$8:D220)+1</f>
        <v>202</v>
      </c>
      <c r="E221" s="64" t="s">
        <v>258</v>
      </c>
      <c r="F221" s="31">
        <v>5610680571</v>
      </c>
      <c r="G221" s="32">
        <v>4.6500000000000004</v>
      </c>
      <c r="H221" s="32"/>
      <c r="I221" s="32"/>
      <c r="J221" s="34">
        <f t="shared" si="19"/>
        <v>4.6500000000000004</v>
      </c>
      <c r="K221" s="32">
        <v>4.6500000000000004</v>
      </c>
      <c r="L221" s="32"/>
      <c r="M221" s="32"/>
      <c r="N221" s="34">
        <f t="shared" si="19"/>
        <v>4.6500000000000004</v>
      </c>
      <c r="O221" s="32">
        <v>4.6500000000000004</v>
      </c>
      <c r="P221" s="32"/>
      <c r="Q221" s="32"/>
      <c r="R221" s="34">
        <f t="shared" si="20"/>
        <v>4.6500000000000004</v>
      </c>
      <c r="S221" s="35" t="s">
        <v>27</v>
      </c>
      <c r="T221" s="34">
        <f t="shared" si="21"/>
        <v>0.3</v>
      </c>
      <c r="U221" s="35" t="s">
        <v>27</v>
      </c>
      <c r="V221" s="34">
        <f t="shared" si="22"/>
        <v>0.3</v>
      </c>
      <c r="W221" s="35" t="s">
        <v>27</v>
      </c>
      <c r="X221" s="34">
        <f t="shared" si="23"/>
        <v>0.3</v>
      </c>
      <c r="Y221" s="36">
        <f t="shared" si="24"/>
        <v>9792900.0000000019</v>
      </c>
      <c r="Z221" s="37" t="s">
        <v>640</v>
      </c>
    </row>
    <row r="222" spans="1:26" ht="28.5" x14ac:dyDescent="0.25">
      <c r="A222" s="1" t="s">
        <v>22</v>
      </c>
      <c r="B222" s="15" t="s">
        <v>23</v>
      </c>
      <c r="C222" s="28" t="s">
        <v>251</v>
      </c>
      <c r="D222" s="29">
        <f>MAX($D$8:D221)+1</f>
        <v>203</v>
      </c>
      <c r="E222" s="64" t="s">
        <v>259</v>
      </c>
      <c r="F222" s="31">
        <v>5610080126</v>
      </c>
      <c r="G222" s="32">
        <v>4.6500000000000004</v>
      </c>
      <c r="H222" s="32"/>
      <c r="I222" s="32"/>
      <c r="J222" s="34">
        <f t="shared" si="19"/>
        <v>4.6500000000000004</v>
      </c>
      <c r="K222" s="32">
        <v>4.6500000000000004</v>
      </c>
      <c r="L222" s="32"/>
      <c r="M222" s="32"/>
      <c r="N222" s="34">
        <f t="shared" si="19"/>
        <v>4.6500000000000004</v>
      </c>
      <c r="O222" s="32">
        <v>4.6500000000000004</v>
      </c>
      <c r="P222" s="32"/>
      <c r="Q222" s="32"/>
      <c r="R222" s="34">
        <f t="shared" si="20"/>
        <v>4.6500000000000004</v>
      </c>
      <c r="S222" s="35" t="s">
        <v>27</v>
      </c>
      <c r="T222" s="34">
        <f t="shared" si="21"/>
        <v>0.3</v>
      </c>
      <c r="U222" s="35" t="s">
        <v>27</v>
      </c>
      <c r="V222" s="34">
        <f t="shared" si="22"/>
        <v>0.3</v>
      </c>
      <c r="W222" s="35" t="s">
        <v>27</v>
      </c>
      <c r="X222" s="34">
        <f t="shared" si="23"/>
        <v>0.3</v>
      </c>
      <c r="Y222" s="36">
        <f t="shared" si="24"/>
        <v>9792900.0000000019</v>
      </c>
      <c r="Z222" s="37" t="s">
        <v>641</v>
      </c>
    </row>
    <row r="223" spans="1:26" ht="28.5" x14ac:dyDescent="0.25">
      <c r="A223" s="1" t="s">
        <v>22</v>
      </c>
      <c r="B223" s="15" t="s">
        <v>23</v>
      </c>
      <c r="C223" s="28" t="s">
        <v>251</v>
      </c>
      <c r="D223" s="29">
        <f>MAX($D$8:D222)+1</f>
        <v>204</v>
      </c>
      <c r="E223" s="64" t="s">
        <v>260</v>
      </c>
      <c r="F223" s="31">
        <v>5610285958</v>
      </c>
      <c r="G223" s="32">
        <v>3.86</v>
      </c>
      <c r="H223" s="32"/>
      <c r="I223" s="32"/>
      <c r="J223" s="34">
        <f t="shared" si="19"/>
        <v>3.86</v>
      </c>
      <c r="K223" s="32">
        <v>3.86</v>
      </c>
      <c r="L223" s="32"/>
      <c r="M223" s="32"/>
      <c r="N223" s="34">
        <f t="shared" si="19"/>
        <v>3.86</v>
      </c>
      <c r="O223" s="32">
        <v>3.86</v>
      </c>
      <c r="P223" s="32"/>
      <c r="Q223" s="32"/>
      <c r="R223" s="34">
        <f t="shared" si="20"/>
        <v>3.86</v>
      </c>
      <c r="S223" s="35" t="s">
        <v>27</v>
      </c>
      <c r="T223" s="34">
        <f t="shared" si="21"/>
        <v>0.3</v>
      </c>
      <c r="U223" s="35" t="s">
        <v>27</v>
      </c>
      <c r="V223" s="34">
        <f t="shared" si="22"/>
        <v>0.3</v>
      </c>
      <c r="W223" s="35" t="s">
        <v>27</v>
      </c>
      <c r="X223" s="34">
        <f t="shared" si="23"/>
        <v>0.3</v>
      </c>
      <c r="Y223" s="36">
        <f t="shared" si="24"/>
        <v>8129159.9999999991</v>
      </c>
      <c r="Z223" s="37" t="s">
        <v>642</v>
      </c>
    </row>
    <row r="224" spans="1:26" ht="28.5" x14ac:dyDescent="0.25">
      <c r="A224" s="1" t="s">
        <v>22</v>
      </c>
      <c r="B224" s="15" t="s">
        <v>23</v>
      </c>
      <c r="C224" s="28" t="s">
        <v>251</v>
      </c>
      <c r="D224" s="29">
        <f>MAX($D$8:D223)+1</f>
        <v>205</v>
      </c>
      <c r="E224" s="30" t="s">
        <v>261</v>
      </c>
      <c r="F224" s="31">
        <v>5610577929</v>
      </c>
      <c r="G224" s="32">
        <v>3.66</v>
      </c>
      <c r="H224" s="32"/>
      <c r="I224" s="32"/>
      <c r="J224" s="34">
        <f t="shared" si="19"/>
        <v>3.66</v>
      </c>
      <c r="K224" s="32">
        <v>3.66</v>
      </c>
      <c r="L224" s="32"/>
      <c r="M224" s="32"/>
      <c r="N224" s="34">
        <f t="shared" si="19"/>
        <v>3.66</v>
      </c>
      <c r="O224" s="32">
        <v>3.66</v>
      </c>
      <c r="P224" s="32"/>
      <c r="Q224" s="32"/>
      <c r="R224" s="34">
        <f t="shared" si="20"/>
        <v>3.66</v>
      </c>
      <c r="S224" s="35" t="s">
        <v>27</v>
      </c>
      <c r="T224" s="34">
        <f t="shared" si="21"/>
        <v>0.3</v>
      </c>
      <c r="U224" s="35" t="s">
        <v>27</v>
      </c>
      <c r="V224" s="34">
        <f t="shared" si="22"/>
        <v>0.3</v>
      </c>
      <c r="W224" s="35" t="s">
        <v>27</v>
      </c>
      <c r="X224" s="34">
        <f t="shared" si="23"/>
        <v>0.3</v>
      </c>
      <c r="Y224" s="36">
        <f t="shared" si="24"/>
        <v>7707960.0000000009</v>
      </c>
      <c r="Z224" s="37" t="s">
        <v>643</v>
      </c>
    </row>
    <row r="225" spans="1:26" ht="28.5" x14ac:dyDescent="0.25">
      <c r="A225" s="1" t="s">
        <v>22</v>
      </c>
      <c r="B225" s="15" t="s">
        <v>23</v>
      </c>
      <c r="C225" s="28" t="s">
        <v>251</v>
      </c>
      <c r="D225" s="29">
        <f>MAX($D$8:D224)+1</f>
        <v>206</v>
      </c>
      <c r="E225" s="64" t="s">
        <v>262</v>
      </c>
      <c r="F225" s="31">
        <v>5610369931</v>
      </c>
      <c r="G225" s="32">
        <v>3.66</v>
      </c>
      <c r="H225" s="32"/>
      <c r="I225" s="32"/>
      <c r="J225" s="34">
        <f t="shared" si="19"/>
        <v>3.66</v>
      </c>
      <c r="K225" s="32">
        <v>3.66</v>
      </c>
      <c r="L225" s="32"/>
      <c r="M225" s="32"/>
      <c r="N225" s="34">
        <f t="shared" si="19"/>
        <v>3.66</v>
      </c>
      <c r="O225" s="32">
        <v>3.66</v>
      </c>
      <c r="P225" s="32"/>
      <c r="Q225" s="32"/>
      <c r="R225" s="34">
        <f t="shared" si="20"/>
        <v>3.66</v>
      </c>
      <c r="S225" s="35" t="s">
        <v>27</v>
      </c>
      <c r="T225" s="34">
        <f t="shared" si="21"/>
        <v>0.3</v>
      </c>
      <c r="U225" s="35" t="s">
        <v>27</v>
      </c>
      <c r="V225" s="34">
        <f t="shared" si="22"/>
        <v>0.3</v>
      </c>
      <c r="W225" s="35" t="s">
        <v>27</v>
      </c>
      <c r="X225" s="34">
        <f t="shared" si="23"/>
        <v>0.3</v>
      </c>
      <c r="Y225" s="36">
        <f t="shared" si="24"/>
        <v>7707960.0000000009</v>
      </c>
      <c r="Z225" s="37" t="s">
        <v>644</v>
      </c>
    </row>
    <row r="226" spans="1:26" ht="28.5" x14ac:dyDescent="0.25">
      <c r="A226" s="1" t="s">
        <v>22</v>
      </c>
      <c r="B226" s="15" t="s">
        <v>23</v>
      </c>
      <c r="C226" s="28" t="s">
        <v>251</v>
      </c>
      <c r="D226" s="29">
        <f>MAX($D$8:D225)+1</f>
        <v>207</v>
      </c>
      <c r="E226" s="64" t="s">
        <v>263</v>
      </c>
      <c r="F226" s="31">
        <v>5610481279</v>
      </c>
      <c r="G226" s="32">
        <v>3.66</v>
      </c>
      <c r="H226" s="32"/>
      <c r="I226" s="32"/>
      <c r="J226" s="34">
        <f t="shared" si="19"/>
        <v>3.66</v>
      </c>
      <c r="K226" s="32">
        <v>3.66</v>
      </c>
      <c r="L226" s="32"/>
      <c r="M226" s="32"/>
      <c r="N226" s="34">
        <f t="shared" si="19"/>
        <v>3.66</v>
      </c>
      <c r="O226" s="32">
        <v>3.66</v>
      </c>
      <c r="P226" s="32"/>
      <c r="Q226" s="32"/>
      <c r="R226" s="34">
        <f t="shared" si="20"/>
        <v>3.66</v>
      </c>
      <c r="S226" s="35" t="s">
        <v>27</v>
      </c>
      <c r="T226" s="34">
        <f t="shared" si="21"/>
        <v>0.3</v>
      </c>
      <c r="U226" s="35" t="s">
        <v>27</v>
      </c>
      <c r="V226" s="34">
        <f t="shared" si="22"/>
        <v>0.3</v>
      </c>
      <c r="W226" s="35" t="s">
        <v>26</v>
      </c>
      <c r="X226" s="34">
        <f t="shared" si="23"/>
        <v>0.5</v>
      </c>
      <c r="Y226" s="36">
        <f t="shared" si="24"/>
        <v>9420840</v>
      </c>
      <c r="Z226" s="37" t="s">
        <v>645</v>
      </c>
    </row>
    <row r="227" spans="1:26" ht="28.5" x14ac:dyDescent="0.25">
      <c r="A227" s="1" t="s">
        <v>22</v>
      </c>
      <c r="B227" s="15" t="s">
        <v>23</v>
      </c>
      <c r="C227" s="28" t="s">
        <v>251</v>
      </c>
      <c r="D227" s="29">
        <f>MAX($D$8:D226)+1</f>
        <v>208</v>
      </c>
      <c r="E227" s="30" t="s">
        <v>264</v>
      </c>
      <c r="F227" s="31">
        <v>5610493919</v>
      </c>
      <c r="G227" s="32">
        <v>3.66</v>
      </c>
      <c r="H227" s="32"/>
      <c r="I227" s="32"/>
      <c r="J227" s="34">
        <f t="shared" si="19"/>
        <v>3.66</v>
      </c>
      <c r="K227" s="32">
        <v>3.66</v>
      </c>
      <c r="L227" s="32"/>
      <c r="M227" s="32"/>
      <c r="N227" s="34">
        <f t="shared" si="19"/>
        <v>3.66</v>
      </c>
      <c r="O227" s="32">
        <v>3.66</v>
      </c>
      <c r="P227" s="32"/>
      <c r="Q227" s="32"/>
      <c r="R227" s="34">
        <f t="shared" si="20"/>
        <v>3.66</v>
      </c>
      <c r="S227" s="35" t="s">
        <v>27</v>
      </c>
      <c r="T227" s="34">
        <f t="shared" si="21"/>
        <v>0.3</v>
      </c>
      <c r="U227" s="35" t="s">
        <v>27</v>
      </c>
      <c r="V227" s="34">
        <f t="shared" si="22"/>
        <v>0.3</v>
      </c>
      <c r="W227" s="35" t="s">
        <v>27</v>
      </c>
      <c r="X227" s="34">
        <f t="shared" si="23"/>
        <v>0.3</v>
      </c>
      <c r="Y227" s="36">
        <f t="shared" si="24"/>
        <v>7707960.0000000009</v>
      </c>
      <c r="Z227" s="37" t="s">
        <v>646</v>
      </c>
    </row>
    <row r="228" spans="1:26" x14ac:dyDescent="0.25">
      <c r="B228" s="15"/>
      <c r="C228" s="28"/>
      <c r="D228" s="29" t="s">
        <v>20</v>
      </c>
      <c r="E228" s="44" t="s">
        <v>265</v>
      </c>
      <c r="F228" s="31"/>
      <c r="G228" s="32"/>
      <c r="H228" s="32"/>
      <c r="I228" s="32"/>
      <c r="J228" s="34"/>
      <c r="K228" s="32"/>
      <c r="L228" s="32"/>
      <c r="M228" s="32"/>
      <c r="N228" s="34"/>
      <c r="O228" s="32"/>
      <c r="P228" s="32"/>
      <c r="Q228" s="32"/>
      <c r="R228" s="34"/>
      <c r="S228" s="35"/>
      <c r="T228" s="34"/>
      <c r="U228" s="35"/>
      <c r="V228" s="34"/>
      <c r="W228" s="35"/>
      <c r="X228" s="34"/>
      <c r="Y228" s="36"/>
      <c r="Z228" s="37"/>
    </row>
    <row r="229" spans="1:26" ht="28.5" x14ac:dyDescent="0.25">
      <c r="A229" s="1" t="s">
        <v>22</v>
      </c>
      <c r="B229" s="15" t="s">
        <v>23</v>
      </c>
      <c r="C229" s="28" t="s">
        <v>266</v>
      </c>
      <c r="D229" s="29">
        <f>MAX($D$8:D228)+1</f>
        <v>209</v>
      </c>
      <c r="E229" s="64" t="s">
        <v>267</v>
      </c>
      <c r="F229" s="31">
        <v>5611149932</v>
      </c>
      <c r="G229" s="32">
        <v>4.9800000000000004</v>
      </c>
      <c r="H229" s="33">
        <f>G229*5%</f>
        <v>0.24900000000000003</v>
      </c>
      <c r="I229" s="34"/>
      <c r="J229" s="34">
        <f t="shared" si="19"/>
        <v>5.2290000000000001</v>
      </c>
      <c r="K229" s="32">
        <v>4.9800000000000004</v>
      </c>
      <c r="L229" s="33">
        <f>K229*5%</f>
        <v>0.24900000000000003</v>
      </c>
      <c r="M229" s="34"/>
      <c r="N229" s="34">
        <f t="shared" si="19"/>
        <v>5.2290000000000001</v>
      </c>
      <c r="O229" s="32">
        <v>4.9800000000000004</v>
      </c>
      <c r="P229" s="33">
        <f>O229*5%</f>
        <v>0.24900000000000003</v>
      </c>
      <c r="Q229" s="34"/>
      <c r="R229" s="34">
        <f t="shared" si="20"/>
        <v>5.2290000000000001</v>
      </c>
      <c r="S229" s="35" t="s">
        <v>27</v>
      </c>
      <c r="T229" s="34">
        <f t="shared" si="21"/>
        <v>0.3</v>
      </c>
      <c r="U229" s="35" t="s">
        <v>27</v>
      </c>
      <c r="V229" s="34">
        <f t="shared" si="22"/>
        <v>0.3</v>
      </c>
      <c r="W229" s="35" t="s">
        <v>27</v>
      </c>
      <c r="X229" s="34">
        <f t="shared" si="23"/>
        <v>0.3</v>
      </c>
      <c r="Y229" s="36">
        <f t="shared" si="24"/>
        <v>11012274</v>
      </c>
      <c r="Z229" s="37" t="s">
        <v>647</v>
      </c>
    </row>
    <row r="230" spans="1:26" ht="28.5" x14ac:dyDescent="0.25">
      <c r="A230" s="1" t="s">
        <v>22</v>
      </c>
      <c r="B230" s="15" t="s">
        <v>23</v>
      </c>
      <c r="C230" s="28" t="s">
        <v>266</v>
      </c>
      <c r="D230" s="29">
        <f>MAX($D$8:D229)+1</f>
        <v>210</v>
      </c>
      <c r="E230" s="30" t="s">
        <v>268</v>
      </c>
      <c r="F230" s="31">
        <v>5611150095</v>
      </c>
      <c r="G230" s="32">
        <v>4.6500000000000004</v>
      </c>
      <c r="H230" s="33"/>
      <c r="I230" s="34"/>
      <c r="J230" s="34">
        <f t="shared" si="19"/>
        <v>4.6500000000000004</v>
      </c>
      <c r="K230" s="32">
        <v>4.6500000000000004</v>
      </c>
      <c r="L230" s="33"/>
      <c r="M230" s="34"/>
      <c r="N230" s="34">
        <f t="shared" si="19"/>
        <v>4.6500000000000004</v>
      </c>
      <c r="O230" s="32">
        <v>4.6500000000000004</v>
      </c>
      <c r="P230" s="33"/>
      <c r="Q230" s="34"/>
      <c r="R230" s="34">
        <f t="shared" si="20"/>
        <v>4.6500000000000004</v>
      </c>
      <c r="S230" s="35" t="s">
        <v>27</v>
      </c>
      <c r="T230" s="34">
        <f t="shared" si="21"/>
        <v>0.3</v>
      </c>
      <c r="U230" s="35" t="s">
        <v>27</v>
      </c>
      <c r="V230" s="34">
        <f t="shared" si="22"/>
        <v>0.3</v>
      </c>
      <c r="W230" s="35" t="s">
        <v>27</v>
      </c>
      <c r="X230" s="34">
        <f t="shared" si="23"/>
        <v>0.3</v>
      </c>
      <c r="Y230" s="36">
        <f t="shared" si="24"/>
        <v>9792900.0000000019</v>
      </c>
      <c r="Z230" s="37" t="s">
        <v>648</v>
      </c>
    </row>
    <row r="231" spans="1:26" ht="28.5" x14ac:dyDescent="0.25">
      <c r="A231" s="1" t="s">
        <v>22</v>
      </c>
      <c r="B231" s="15" t="s">
        <v>23</v>
      </c>
      <c r="C231" s="28" t="s">
        <v>266</v>
      </c>
      <c r="D231" s="29">
        <f>MAX($D$8:D230)+1</f>
        <v>211</v>
      </c>
      <c r="E231" s="30" t="s">
        <v>269</v>
      </c>
      <c r="F231" s="31">
        <v>5611151432</v>
      </c>
      <c r="G231" s="32">
        <v>4.32</v>
      </c>
      <c r="H231" s="33"/>
      <c r="I231" s="34"/>
      <c r="J231" s="34">
        <f t="shared" si="19"/>
        <v>4.32</v>
      </c>
      <c r="K231" s="32">
        <v>4.32</v>
      </c>
      <c r="L231" s="33"/>
      <c r="M231" s="34"/>
      <c r="N231" s="34">
        <f t="shared" si="19"/>
        <v>4.32</v>
      </c>
      <c r="O231" s="32">
        <v>4.32</v>
      </c>
      <c r="P231" s="33"/>
      <c r="Q231" s="34"/>
      <c r="R231" s="34">
        <f t="shared" si="20"/>
        <v>4.32</v>
      </c>
      <c r="S231" s="35" t="s">
        <v>27</v>
      </c>
      <c r="T231" s="34">
        <f t="shared" si="21"/>
        <v>0.3</v>
      </c>
      <c r="U231" s="35" t="s">
        <v>27</v>
      </c>
      <c r="V231" s="34">
        <f t="shared" si="22"/>
        <v>0.3</v>
      </c>
      <c r="W231" s="35" t="s">
        <v>27</v>
      </c>
      <c r="X231" s="34">
        <f t="shared" si="23"/>
        <v>0.3</v>
      </c>
      <c r="Y231" s="36">
        <f t="shared" si="24"/>
        <v>9097920</v>
      </c>
      <c r="Z231" s="37" t="s">
        <v>649</v>
      </c>
    </row>
    <row r="232" spans="1:26" ht="28.5" x14ac:dyDescent="0.25">
      <c r="A232" s="1" t="s">
        <v>22</v>
      </c>
      <c r="B232" s="15" t="s">
        <v>23</v>
      </c>
      <c r="C232" s="28" t="s">
        <v>266</v>
      </c>
      <c r="D232" s="29">
        <f>MAX($D$8:D231)+1</f>
        <v>212</v>
      </c>
      <c r="E232" s="64" t="s">
        <v>270</v>
      </c>
      <c r="F232" s="31">
        <v>5611151335</v>
      </c>
      <c r="G232" s="32">
        <v>4.6500000000000004</v>
      </c>
      <c r="H232" s="33"/>
      <c r="I232" s="34">
        <v>0.6</v>
      </c>
      <c r="J232" s="34">
        <f t="shared" si="19"/>
        <v>5.25</v>
      </c>
      <c r="K232" s="32">
        <v>4.6500000000000004</v>
      </c>
      <c r="L232" s="33"/>
      <c r="M232" s="34">
        <v>0.6</v>
      </c>
      <c r="N232" s="34">
        <f t="shared" si="19"/>
        <v>5.25</v>
      </c>
      <c r="O232" s="32">
        <v>4.6500000000000004</v>
      </c>
      <c r="P232" s="33"/>
      <c r="Q232" s="34">
        <v>0.6</v>
      </c>
      <c r="R232" s="34">
        <f t="shared" si="20"/>
        <v>5.25</v>
      </c>
      <c r="S232" s="35" t="s">
        <v>27</v>
      </c>
      <c r="T232" s="34">
        <f t="shared" si="21"/>
        <v>0.3</v>
      </c>
      <c r="U232" s="35" t="s">
        <v>27</v>
      </c>
      <c r="V232" s="34">
        <f t="shared" si="22"/>
        <v>0.3</v>
      </c>
      <c r="W232" s="35" t="s">
        <v>26</v>
      </c>
      <c r="X232" s="34">
        <f t="shared" si="23"/>
        <v>0.5</v>
      </c>
      <c r="Y232" s="36">
        <f t="shared" si="24"/>
        <v>13513500</v>
      </c>
      <c r="Z232" s="37" t="s">
        <v>650</v>
      </c>
    </row>
    <row r="233" spans="1:26" ht="28.5" x14ac:dyDescent="0.25">
      <c r="A233" s="1" t="s">
        <v>22</v>
      </c>
      <c r="B233" s="15" t="s">
        <v>23</v>
      </c>
      <c r="C233" s="28" t="s">
        <v>266</v>
      </c>
      <c r="D233" s="29">
        <f>MAX($D$8:D232)+1</f>
        <v>213</v>
      </c>
      <c r="E233" s="64" t="s">
        <v>271</v>
      </c>
      <c r="F233" s="31">
        <v>5611149862</v>
      </c>
      <c r="G233" s="32">
        <v>4.6500000000000004</v>
      </c>
      <c r="H233" s="33"/>
      <c r="I233" s="34"/>
      <c r="J233" s="34">
        <f t="shared" si="19"/>
        <v>4.6500000000000004</v>
      </c>
      <c r="K233" s="32">
        <v>4.6500000000000004</v>
      </c>
      <c r="L233" s="33"/>
      <c r="M233" s="34"/>
      <c r="N233" s="34">
        <f t="shared" si="19"/>
        <v>4.6500000000000004</v>
      </c>
      <c r="O233" s="32">
        <v>4.6500000000000004</v>
      </c>
      <c r="P233" s="33"/>
      <c r="Q233" s="34"/>
      <c r="R233" s="34">
        <f t="shared" si="20"/>
        <v>4.6500000000000004</v>
      </c>
      <c r="S233" s="35" t="s">
        <v>27</v>
      </c>
      <c r="T233" s="34">
        <f t="shared" si="21"/>
        <v>0.3</v>
      </c>
      <c r="U233" s="35" t="s">
        <v>27</v>
      </c>
      <c r="V233" s="34">
        <f t="shared" si="22"/>
        <v>0.3</v>
      </c>
      <c r="W233" s="35" t="s">
        <v>27</v>
      </c>
      <c r="X233" s="34">
        <f t="shared" si="23"/>
        <v>0.3</v>
      </c>
      <c r="Y233" s="36">
        <f t="shared" si="24"/>
        <v>9792900.0000000019</v>
      </c>
      <c r="Z233" s="37" t="s">
        <v>651</v>
      </c>
    </row>
    <row r="234" spans="1:26" ht="28.5" x14ac:dyDescent="0.25">
      <c r="A234" s="1" t="s">
        <v>22</v>
      </c>
      <c r="B234" s="15" t="s">
        <v>23</v>
      </c>
      <c r="C234" s="28" t="s">
        <v>266</v>
      </c>
      <c r="D234" s="29">
        <f>MAX($D$8:D233)+1</f>
        <v>214</v>
      </c>
      <c r="E234" s="30" t="s">
        <v>272</v>
      </c>
      <c r="F234" s="31">
        <v>5611542869</v>
      </c>
      <c r="G234" s="32">
        <v>2.67</v>
      </c>
      <c r="H234" s="33"/>
      <c r="I234" s="34"/>
      <c r="J234" s="34">
        <f t="shared" si="19"/>
        <v>2.67</v>
      </c>
      <c r="K234" s="32">
        <v>2.67</v>
      </c>
      <c r="L234" s="33"/>
      <c r="M234" s="34"/>
      <c r="N234" s="34">
        <f t="shared" si="19"/>
        <v>2.67</v>
      </c>
      <c r="O234" s="32">
        <v>2.67</v>
      </c>
      <c r="P234" s="33"/>
      <c r="Q234" s="34"/>
      <c r="R234" s="34">
        <f t="shared" si="20"/>
        <v>2.67</v>
      </c>
      <c r="S234" s="35" t="s">
        <v>27</v>
      </c>
      <c r="T234" s="34">
        <f t="shared" si="21"/>
        <v>0.3</v>
      </c>
      <c r="U234" s="35" t="s">
        <v>27</v>
      </c>
      <c r="V234" s="34">
        <f t="shared" si="22"/>
        <v>0.3</v>
      </c>
      <c r="W234" s="35" t="s">
        <v>27</v>
      </c>
      <c r="X234" s="34">
        <f t="shared" si="23"/>
        <v>0.3</v>
      </c>
      <c r="Y234" s="36">
        <f t="shared" si="24"/>
        <v>5623019.9999999991</v>
      </c>
      <c r="Z234" s="37" t="s">
        <v>652</v>
      </c>
    </row>
    <row r="235" spans="1:26" ht="28.5" x14ac:dyDescent="0.25">
      <c r="A235" s="1" t="s">
        <v>22</v>
      </c>
      <c r="B235" s="15" t="s">
        <v>23</v>
      </c>
      <c r="C235" s="28" t="s">
        <v>266</v>
      </c>
      <c r="D235" s="29">
        <f>MAX($D$8:D234)+1</f>
        <v>215</v>
      </c>
      <c r="E235" s="62" t="s">
        <v>273</v>
      </c>
      <c r="F235" s="47">
        <v>5623448702</v>
      </c>
      <c r="G235" s="52">
        <v>3.99</v>
      </c>
      <c r="H235" s="106"/>
      <c r="I235" s="34">
        <v>0.5</v>
      </c>
      <c r="J235" s="34">
        <f t="shared" si="19"/>
        <v>4.49</v>
      </c>
      <c r="K235" s="52">
        <v>3.99</v>
      </c>
      <c r="L235" s="106"/>
      <c r="M235" s="34">
        <v>0.5</v>
      </c>
      <c r="N235" s="34">
        <f t="shared" si="19"/>
        <v>4.49</v>
      </c>
      <c r="O235" s="52">
        <v>3.99</v>
      </c>
      <c r="P235" s="106"/>
      <c r="Q235" s="34">
        <v>0.5</v>
      </c>
      <c r="R235" s="34">
        <f t="shared" si="20"/>
        <v>4.49</v>
      </c>
      <c r="S235" s="35" t="s">
        <v>27</v>
      </c>
      <c r="T235" s="34">
        <f t="shared" si="21"/>
        <v>0.3</v>
      </c>
      <c r="U235" s="35" t="s">
        <v>27</v>
      </c>
      <c r="V235" s="34">
        <f t="shared" si="22"/>
        <v>0.3</v>
      </c>
      <c r="W235" s="35" t="s">
        <v>27</v>
      </c>
      <c r="X235" s="34">
        <f t="shared" si="23"/>
        <v>0.3</v>
      </c>
      <c r="Y235" s="36">
        <f t="shared" si="24"/>
        <v>9455940</v>
      </c>
      <c r="Z235" s="37" t="s">
        <v>653</v>
      </c>
    </row>
    <row r="236" spans="1:26" ht="28.5" x14ac:dyDescent="0.25">
      <c r="A236" s="1" t="s">
        <v>22</v>
      </c>
      <c r="B236" s="15" t="s">
        <v>23</v>
      </c>
      <c r="C236" s="28" t="s">
        <v>266</v>
      </c>
      <c r="D236" s="29">
        <f>MAX($D$8:D235)+1</f>
        <v>216</v>
      </c>
      <c r="E236" s="62" t="s">
        <v>274</v>
      </c>
      <c r="F236" s="47">
        <v>5620580313</v>
      </c>
      <c r="G236" s="51">
        <v>4.6500000000000004</v>
      </c>
      <c r="H236" s="51"/>
      <c r="I236" s="51"/>
      <c r="J236" s="34">
        <f t="shared" si="19"/>
        <v>4.6500000000000004</v>
      </c>
      <c r="K236" s="52">
        <v>4.6500000000000004</v>
      </c>
      <c r="L236" s="52"/>
      <c r="M236" s="52"/>
      <c r="N236" s="34">
        <f t="shared" si="19"/>
        <v>4.6500000000000004</v>
      </c>
      <c r="O236" s="52">
        <v>4.6500000000000004</v>
      </c>
      <c r="P236" s="52"/>
      <c r="Q236" s="52"/>
      <c r="R236" s="34">
        <f t="shared" si="20"/>
        <v>4.6500000000000004</v>
      </c>
      <c r="S236" s="35" t="s">
        <v>27</v>
      </c>
      <c r="T236" s="34">
        <f t="shared" si="21"/>
        <v>0.3</v>
      </c>
      <c r="U236" s="35" t="s">
        <v>27</v>
      </c>
      <c r="V236" s="34">
        <f t="shared" si="22"/>
        <v>0.3</v>
      </c>
      <c r="W236" s="35" t="s">
        <v>27</v>
      </c>
      <c r="X236" s="34">
        <f t="shared" si="23"/>
        <v>0.3</v>
      </c>
      <c r="Y236" s="36">
        <f t="shared" si="24"/>
        <v>9792900.0000000019</v>
      </c>
      <c r="Z236" s="37" t="s">
        <v>654</v>
      </c>
    </row>
    <row r="237" spans="1:26" ht="28.5" x14ac:dyDescent="0.25">
      <c r="A237" s="1" t="s">
        <v>22</v>
      </c>
      <c r="B237" s="15" t="s">
        <v>23</v>
      </c>
      <c r="C237" s="28" t="s">
        <v>266</v>
      </c>
      <c r="D237" s="29">
        <f>MAX($D$8:D236)+1</f>
        <v>217</v>
      </c>
      <c r="E237" s="62" t="s">
        <v>275</v>
      </c>
      <c r="F237" s="47">
        <v>8821479824</v>
      </c>
      <c r="G237" s="52">
        <v>4.6500000000000004</v>
      </c>
      <c r="H237" s="52"/>
      <c r="I237" s="52"/>
      <c r="J237" s="34">
        <f t="shared" si="19"/>
        <v>4.6500000000000004</v>
      </c>
      <c r="K237" s="52">
        <v>4.6500000000000004</v>
      </c>
      <c r="L237" s="52"/>
      <c r="M237" s="52"/>
      <c r="N237" s="34">
        <f t="shared" si="19"/>
        <v>4.6500000000000004</v>
      </c>
      <c r="O237" s="52">
        <v>4.6500000000000004</v>
      </c>
      <c r="P237" s="52"/>
      <c r="Q237" s="52"/>
      <c r="R237" s="34">
        <f t="shared" si="20"/>
        <v>4.6500000000000004</v>
      </c>
      <c r="S237" s="35" t="s">
        <v>27</v>
      </c>
      <c r="T237" s="34">
        <f t="shared" si="21"/>
        <v>0.3</v>
      </c>
      <c r="U237" s="35" t="s">
        <v>27</v>
      </c>
      <c r="V237" s="34">
        <f t="shared" si="22"/>
        <v>0.3</v>
      </c>
      <c r="W237" s="35" t="s">
        <v>27</v>
      </c>
      <c r="X237" s="34">
        <f t="shared" si="23"/>
        <v>0.3</v>
      </c>
      <c r="Y237" s="36">
        <f t="shared" si="24"/>
        <v>9792900.0000000019</v>
      </c>
      <c r="Z237" s="37" t="s">
        <v>655</v>
      </c>
    </row>
    <row r="238" spans="1:26" ht="28.5" x14ac:dyDescent="0.25">
      <c r="A238" s="1" t="s">
        <v>22</v>
      </c>
      <c r="B238" s="15" t="s">
        <v>23</v>
      </c>
      <c r="C238" s="28" t="s">
        <v>266</v>
      </c>
      <c r="D238" s="29">
        <f>MAX($D$8:D237)+1</f>
        <v>218</v>
      </c>
      <c r="E238" s="62" t="s">
        <v>276</v>
      </c>
      <c r="F238" s="47">
        <v>8873369421</v>
      </c>
      <c r="G238" s="52">
        <v>3.33</v>
      </c>
      <c r="H238" s="52"/>
      <c r="I238" s="52"/>
      <c r="J238" s="34">
        <f t="shared" si="19"/>
        <v>3.33</v>
      </c>
      <c r="K238" s="52">
        <v>3.33</v>
      </c>
      <c r="L238" s="52"/>
      <c r="M238" s="52"/>
      <c r="N238" s="34">
        <f t="shared" si="19"/>
        <v>3.33</v>
      </c>
      <c r="O238" s="52">
        <v>3.33</v>
      </c>
      <c r="P238" s="52"/>
      <c r="Q238" s="52"/>
      <c r="R238" s="34">
        <f t="shared" si="20"/>
        <v>3.33</v>
      </c>
      <c r="S238" s="35" t="s">
        <v>27</v>
      </c>
      <c r="T238" s="34">
        <f t="shared" si="21"/>
        <v>0.3</v>
      </c>
      <c r="U238" s="35" t="s">
        <v>27</v>
      </c>
      <c r="V238" s="34">
        <f t="shared" si="22"/>
        <v>0.3</v>
      </c>
      <c r="W238" s="35" t="s">
        <v>27</v>
      </c>
      <c r="X238" s="34">
        <f t="shared" si="23"/>
        <v>0.3</v>
      </c>
      <c r="Y238" s="36">
        <f t="shared" si="24"/>
        <v>7012980</v>
      </c>
      <c r="Z238" s="37" t="s">
        <v>656</v>
      </c>
    </row>
    <row r="239" spans="1:26" ht="28.5" x14ac:dyDescent="0.25">
      <c r="A239" s="1" t="s">
        <v>22</v>
      </c>
      <c r="B239" s="15" t="s">
        <v>23</v>
      </c>
      <c r="C239" s="28" t="s">
        <v>266</v>
      </c>
      <c r="D239" s="29">
        <f>MAX($D$8:D238)+1</f>
        <v>219</v>
      </c>
      <c r="E239" s="62" t="s">
        <v>277</v>
      </c>
      <c r="F239" s="47">
        <v>8863373266</v>
      </c>
      <c r="G239" s="52">
        <v>3.66</v>
      </c>
      <c r="H239" s="52"/>
      <c r="I239" s="52"/>
      <c r="J239" s="34">
        <f t="shared" si="19"/>
        <v>3.66</v>
      </c>
      <c r="K239" s="52">
        <v>3.66</v>
      </c>
      <c r="L239" s="52"/>
      <c r="M239" s="52"/>
      <c r="N239" s="34">
        <f t="shared" si="19"/>
        <v>3.66</v>
      </c>
      <c r="O239" s="52">
        <v>3.66</v>
      </c>
      <c r="P239" s="52"/>
      <c r="Q239" s="52"/>
      <c r="R239" s="34">
        <f t="shared" si="20"/>
        <v>3.66</v>
      </c>
      <c r="S239" s="35" t="s">
        <v>27</v>
      </c>
      <c r="T239" s="34">
        <f t="shared" si="21"/>
        <v>0.3</v>
      </c>
      <c r="U239" s="35" t="s">
        <v>27</v>
      </c>
      <c r="V239" s="34">
        <f t="shared" si="22"/>
        <v>0.3</v>
      </c>
      <c r="W239" s="35" t="s">
        <v>27</v>
      </c>
      <c r="X239" s="34">
        <f t="shared" si="23"/>
        <v>0.3</v>
      </c>
      <c r="Y239" s="36">
        <f t="shared" si="24"/>
        <v>7707960.0000000009</v>
      </c>
      <c r="Z239" s="37" t="s">
        <v>657</v>
      </c>
    </row>
    <row r="240" spans="1:26" ht="28.5" x14ac:dyDescent="0.25">
      <c r="A240" s="1" t="s">
        <v>22</v>
      </c>
      <c r="B240" s="15" t="s">
        <v>23</v>
      </c>
      <c r="C240" s="28" t="s">
        <v>266</v>
      </c>
      <c r="D240" s="29">
        <f>MAX($D$8:D239)+1</f>
        <v>220</v>
      </c>
      <c r="E240" s="62" t="s">
        <v>278</v>
      </c>
      <c r="F240" s="47">
        <v>8893373267</v>
      </c>
      <c r="G240" s="93">
        <v>3</v>
      </c>
      <c r="H240" s="93"/>
      <c r="I240" s="93"/>
      <c r="J240" s="34">
        <f t="shared" si="19"/>
        <v>3</v>
      </c>
      <c r="K240" s="93">
        <v>3</v>
      </c>
      <c r="L240" s="93"/>
      <c r="M240" s="93"/>
      <c r="N240" s="34">
        <f t="shared" si="19"/>
        <v>3</v>
      </c>
      <c r="O240" s="93">
        <v>3</v>
      </c>
      <c r="P240" s="93"/>
      <c r="Q240" s="93"/>
      <c r="R240" s="34">
        <f t="shared" si="20"/>
        <v>3</v>
      </c>
      <c r="S240" s="35" t="s">
        <v>27</v>
      </c>
      <c r="T240" s="34">
        <f t="shared" si="21"/>
        <v>0.3</v>
      </c>
      <c r="U240" s="35" t="s">
        <v>27</v>
      </c>
      <c r="V240" s="34">
        <f t="shared" si="22"/>
        <v>0.3</v>
      </c>
      <c r="W240" s="35" t="s">
        <v>27</v>
      </c>
      <c r="X240" s="34">
        <f t="shared" si="23"/>
        <v>0.3</v>
      </c>
      <c r="Y240" s="36">
        <f t="shared" si="24"/>
        <v>6317999.9999999991</v>
      </c>
      <c r="Z240" s="37" t="s">
        <v>658</v>
      </c>
    </row>
    <row r="241" spans="1:26" ht="28.5" x14ac:dyDescent="0.25">
      <c r="A241" s="1" t="s">
        <v>22</v>
      </c>
      <c r="B241" s="15" t="s">
        <v>23</v>
      </c>
      <c r="C241" s="28" t="s">
        <v>266</v>
      </c>
      <c r="D241" s="29">
        <f>MAX($D$8:D240)+1</f>
        <v>221</v>
      </c>
      <c r="E241" s="64" t="s">
        <v>279</v>
      </c>
      <c r="F241" s="31">
        <v>5611149941</v>
      </c>
      <c r="G241" s="32">
        <v>3.66</v>
      </c>
      <c r="H241" s="32"/>
      <c r="I241" s="32"/>
      <c r="J241" s="34">
        <f t="shared" si="19"/>
        <v>3.66</v>
      </c>
      <c r="K241" s="32">
        <v>3.66</v>
      </c>
      <c r="L241" s="32"/>
      <c r="M241" s="32"/>
      <c r="N241" s="34">
        <f t="shared" si="19"/>
        <v>3.66</v>
      </c>
      <c r="O241" s="32">
        <v>3.66</v>
      </c>
      <c r="P241" s="32"/>
      <c r="Q241" s="32"/>
      <c r="R241" s="34">
        <f t="shared" si="20"/>
        <v>3.66</v>
      </c>
      <c r="S241" s="35" t="s">
        <v>27</v>
      </c>
      <c r="T241" s="34">
        <f t="shared" si="21"/>
        <v>0.3</v>
      </c>
      <c r="U241" s="35" t="s">
        <v>27</v>
      </c>
      <c r="V241" s="34">
        <f t="shared" si="22"/>
        <v>0.3</v>
      </c>
      <c r="W241" s="35" t="s">
        <v>27</v>
      </c>
      <c r="X241" s="34">
        <f t="shared" si="23"/>
        <v>0.3</v>
      </c>
      <c r="Y241" s="36">
        <f t="shared" si="24"/>
        <v>7707960.0000000009</v>
      </c>
      <c r="Z241" s="37" t="s">
        <v>659</v>
      </c>
    </row>
    <row r="242" spans="1:26" ht="28.5" x14ac:dyDescent="0.25">
      <c r="A242" s="1" t="s">
        <v>22</v>
      </c>
      <c r="B242" s="15" t="s">
        <v>23</v>
      </c>
      <c r="C242" s="28" t="s">
        <v>266</v>
      </c>
      <c r="D242" s="29">
        <f>MAX($D$8:D241)+1</f>
        <v>222</v>
      </c>
      <c r="E242" s="64" t="s">
        <v>280</v>
      </c>
      <c r="F242" s="31">
        <v>5611151256</v>
      </c>
      <c r="G242" s="32">
        <v>3.66</v>
      </c>
      <c r="H242" s="32"/>
      <c r="I242" s="32"/>
      <c r="J242" s="34">
        <f t="shared" si="19"/>
        <v>3.66</v>
      </c>
      <c r="K242" s="32">
        <v>3.66</v>
      </c>
      <c r="L242" s="32"/>
      <c r="M242" s="32"/>
      <c r="N242" s="34">
        <f t="shared" si="19"/>
        <v>3.66</v>
      </c>
      <c r="O242" s="32">
        <v>3.66</v>
      </c>
      <c r="P242" s="32"/>
      <c r="Q242" s="32"/>
      <c r="R242" s="34">
        <f t="shared" si="20"/>
        <v>3.66</v>
      </c>
      <c r="S242" s="35" t="s">
        <v>27</v>
      </c>
      <c r="T242" s="34">
        <f t="shared" si="21"/>
        <v>0.3</v>
      </c>
      <c r="U242" s="35" t="s">
        <v>27</v>
      </c>
      <c r="V242" s="34">
        <f t="shared" si="22"/>
        <v>0.3</v>
      </c>
      <c r="W242" s="35" t="s">
        <v>27</v>
      </c>
      <c r="X242" s="34">
        <f t="shared" si="23"/>
        <v>0.3</v>
      </c>
      <c r="Y242" s="36">
        <f t="shared" si="24"/>
        <v>7707960.0000000009</v>
      </c>
      <c r="Z242" s="37" t="s">
        <v>660</v>
      </c>
    </row>
    <row r="243" spans="1:26" x14ac:dyDescent="0.25">
      <c r="B243" s="15"/>
      <c r="C243" s="28"/>
      <c r="D243" s="29" t="s">
        <v>20</v>
      </c>
      <c r="E243" s="44" t="s">
        <v>281</v>
      </c>
      <c r="F243" s="31"/>
      <c r="G243" s="32"/>
      <c r="H243" s="32"/>
      <c r="I243" s="32"/>
      <c r="J243" s="34"/>
      <c r="K243" s="32"/>
      <c r="L243" s="32"/>
      <c r="M243" s="32"/>
      <c r="N243" s="34"/>
      <c r="O243" s="32"/>
      <c r="P243" s="32"/>
      <c r="Q243" s="32"/>
      <c r="R243" s="34"/>
      <c r="S243" s="35"/>
      <c r="T243" s="34"/>
      <c r="U243" s="35"/>
      <c r="V243" s="34"/>
      <c r="W243" s="35"/>
      <c r="X243" s="34"/>
      <c r="Y243" s="36"/>
      <c r="Z243" s="37"/>
    </row>
    <row r="244" spans="1:26" ht="28.5" x14ac:dyDescent="0.25">
      <c r="A244" s="1" t="s">
        <v>22</v>
      </c>
      <c r="B244" s="15" t="s">
        <v>23</v>
      </c>
      <c r="C244" s="28" t="s">
        <v>28</v>
      </c>
      <c r="D244" s="29">
        <f>MAX($D$8:D243)+1</f>
        <v>223</v>
      </c>
      <c r="E244" s="76" t="s">
        <v>282</v>
      </c>
      <c r="F244" s="47">
        <v>5623448711</v>
      </c>
      <c r="G244" s="52">
        <v>4.32</v>
      </c>
      <c r="H244" s="52"/>
      <c r="I244" s="34">
        <v>0.6</v>
      </c>
      <c r="J244" s="34">
        <f t="shared" si="19"/>
        <v>4.92</v>
      </c>
      <c r="K244" s="52">
        <v>4.32</v>
      </c>
      <c r="L244" s="52"/>
      <c r="M244" s="34">
        <v>0.6</v>
      </c>
      <c r="N244" s="34">
        <f t="shared" si="19"/>
        <v>4.92</v>
      </c>
      <c r="O244" s="52">
        <v>4.32</v>
      </c>
      <c r="P244" s="52"/>
      <c r="Q244" s="34">
        <v>0.6</v>
      </c>
      <c r="R244" s="34">
        <f t="shared" si="20"/>
        <v>4.92</v>
      </c>
      <c r="S244" s="35" t="s">
        <v>27</v>
      </c>
      <c r="T244" s="34">
        <f t="shared" si="21"/>
        <v>0.3</v>
      </c>
      <c r="U244" s="35" t="s">
        <v>27</v>
      </c>
      <c r="V244" s="34">
        <f t="shared" si="22"/>
        <v>0.3</v>
      </c>
      <c r="W244" s="35" t="s">
        <v>38</v>
      </c>
      <c r="X244" s="34">
        <f t="shared" si="23"/>
        <v>0.1</v>
      </c>
      <c r="Y244" s="36">
        <f t="shared" si="24"/>
        <v>8058960</v>
      </c>
      <c r="Z244" s="37" t="s">
        <v>787</v>
      </c>
    </row>
    <row r="245" spans="1:26" ht="28.5" x14ac:dyDescent="0.25">
      <c r="A245" s="1" t="s">
        <v>22</v>
      </c>
      <c r="B245" s="15" t="s">
        <v>23</v>
      </c>
      <c r="C245" s="28" t="s">
        <v>28</v>
      </c>
      <c r="D245" s="29">
        <f>MAX($D$8:D244)+1</f>
        <v>224</v>
      </c>
      <c r="E245" s="70" t="s">
        <v>283</v>
      </c>
      <c r="F245" s="47">
        <v>8833369395</v>
      </c>
      <c r="G245" s="52">
        <v>4.32</v>
      </c>
      <c r="H245" s="52"/>
      <c r="I245" s="34">
        <v>0.5</v>
      </c>
      <c r="J245" s="34">
        <f t="shared" si="19"/>
        <v>4.82</v>
      </c>
      <c r="K245" s="52">
        <v>4.32</v>
      </c>
      <c r="L245" s="52"/>
      <c r="M245" s="34">
        <v>0.5</v>
      </c>
      <c r="N245" s="34">
        <f t="shared" si="19"/>
        <v>4.82</v>
      </c>
      <c r="O245" s="52">
        <v>4.32</v>
      </c>
      <c r="P245" s="52"/>
      <c r="Q245" s="34">
        <v>0.5</v>
      </c>
      <c r="R245" s="34">
        <f t="shared" si="20"/>
        <v>4.82</v>
      </c>
      <c r="S245" s="35" t="s">
        <v>27</v>
      </c>
      <c r="T245" s="34">
        <f t="shared" si="21"/>
        <v>0.3</v>
      </c>
      <c r="U245" s="35" t="s">
        <v>27</v>
      </c>
      <c r="V245" s="34">
        <f t="shared" si="22"/>
        <v>0.3</v>
      </c>
      <c r="W245" s="35" t="s">
        <v>27</v>
      </c>
      <c r="X245" s="34">
        <f t="shared" si="23"/>
        <v>0.3</v>
      </c>
      <c r="Y245" s="36">
        <f t="shared" si="24"/>
        <v>10150920</v>
      </c>
      <c r="Z245" s="37" t="s">
        <v>661</v>
      </c>
    </row>
    <row r="246" spans="1:26" ht="28.5" x14ac:dyDescent="0.25">
      <c r="A246" s="1" t="s">
        <v>22</v>
      </c>
      <c r="B246" s="15" t="s">
        <v>23</v>
      </c>
      <c r="C246" s="28" t="s">
        <v>28</v>
      </c>
      <c r="D246" s="29">
        <f>MAX($D$8:D245)+1</f>
        <v>225</v>
      </c>
      <c r="E246" s="76" t="s">
        <v>284</v>
      </c>
      <c r="F246" s="47">
        <v>5623447930</v>
      </c>
      <c r="G246" s="52">
        <v>5.08</v>
      </c>
      <c r="H246" s="52"/>
      <c r="I246" s="52"/>
      <c r="J246" s="34">
        <f t="shared" si="19"/>
        <v>5.08</v>
      </c>
      <c r="K246" s="52">
        <v>5.08</v>
      </c>
      <c r="L246" s="52"/>
      <c r="M246" s="52"/>
      <c r="N246" s="34">
        <f t="shared" si="19"/>
        <v>5.08</v>
      </c>
      <c r="O246" s="51">
        <v>5.42</v>
      </c>
      <c r="P246" s="51"/>
      <c r="Q246" s="51"/>
      <c r="R246" s="34">
        <f t="shared" si="20"/>
        <v>5.42</v>
      </c>
      <c r="S246" s="35" t="s">
        <v>38</v>
      </c>
      <c r="T246" s="34">
        <f t="shared" si="21"/>
        <v>0.1</v>
      </c>
      <c r="U246" s="35" t="s">
        <v>27</v>
      </c>
      <c r="V246" s="34">
        <f t="shared" si="22"/>
        <v>0.3</v>
      </c>
      <c r="W246" s="35" t="s">
        <v>26</v>
      </c>
      <c r="X246" s="34">
        <f t="shared" si="23"/>
        <v>0.5</v>
      </c>
      <c r="Y246" s="36">
        <f t="shared" si="24"/>
        <v>11096280</v>
      </c>
      <c r="Z246" s="37" t="s">
        <v>662</v>
      </c>
    </row>
    <row r="247" spans="1:26" ht="28.5" x14ac:dyDescent="0.25">
      <c r="A247" s="1" t="s">
        <v>22</v>
      </c>
      <c r="B247" s="15" t="s">
        <v>23</v>
      </c>
      <c r="C247" s="28" t="s">
        <v>28</v>
      </c>
      <c r="D247" s="29">
        <f>MAX($D$8:D246)+1</f>
        <v>226</v>
      </c>
      <c r="E247" s="76" t="s">
        <v>285</v>
      </c>
      <c r="F247" s="47">
        <v>5623447994</v>
      </c>
      <c r="G247" s="52">
        <v>3</v>
      </c>
      <c r="H247" s="52"/>
      <c r="I247" s="52"/>
      <c r="J247" s="34">
        <f t="shared" si="19"/>
        <v>3</v>
      </c>
      <c r="K247" s="52">
        <v>3</v>
      </c>
      <c r="L247" s="52"/>
      <c r="M247" s="52"/>
      <c r="N247" s="34">
        <f t="shared" si="19"/>
        <v>3</v>
      </c>
      <c r="O247" s="52">
        <v>3</v>
      </c>
      <c r="P247" s="52"/>
      <c r="Q247" s="52"/>
      <c r="R247" s="34">
        <f t="shared" si="20"/>
        <v>3</v>
      </c>
      <c r="S247" s="35" t="s">
        <v>27</v>
      </c>
      <c r="T247" s="34">
        <f t="shared" si="21"/>
        <v>0.3</v>
      </c>
      <c r="U247" s="35" t="s">
        <v>27</v>
      </c>
      <c r="V247" s="34">
        <f t="shared" si="22"/>
        <v>0.3</v>
      </c>
      <c r="W247" s="35" t="s">
        <v>27</v>
      </c>
      <c r="X247" s="34">
        <f t="shared" si="23"/>
        <v>0.3</v>
      </c>
      <c r="Y247" s="36">
        <f t="shared" si="24"/>
        <v>6317999.9999999991</v>
      </c>
      <c r="Z247" s="37" t="s">
        <v>663</v>
      </c>
    </row>
    <row r="248" spans="1:26" ht="28.5" x14ac:dyDescent="0.25">
      <c r="A248" s="1" t="s">
        <v>22</v>
      </c>
      <c r="B248" s="15" t="s">
        <v>23</v>
      </c>
      <c r="C248" s="28" t="s">
        <v>28</v>
      </c>
      <c r="D248" s="29">
        <f>MAX($D$8:D247)+1</f>
        <v>227</v>
      </c>
      <c r="E248" s="76" t="s">
        <v>286</v>
      </c>
      <c r="F248" s="47">
        <v>8803378519</v>
      </c>
      <c r="G248" s="52">
        <v>4.6500000000000004</v>
      </c>
      <c r="H248" s="52"/>
      <c r="I248" s="52"/>
      <c r="J248" s="34">
        <f t="shared" si="19"/>
        <v>4.6500000000000004</v>
      </c>
      <c r="K248" s="52">
        <v>4.6500000000000004</v>
      </c>
      <c r="L248" s="52"/>
      <c r="M248" s="52"/>
      <c r="N248" s="34">
        <f t="shared" si="19"/>
        <v>4.6500000000000004</v>
      </c>
      <c r="O248" s="52">
        <v>4.6500000000000004</v>
      </c>
      <c r="P248" s="52"/>
      <c r="Q248" s="52"/>
      <c r="R248" s="34">
        <f t="shared" si="20"/>
        <v>4.6500000000000004</v>
      </c>
      <c r="S248" s="35" t="s">
        <v>27</v>
      </c>
      <c r="T248" s="34">
        <f t="shared" si="21"/>
        <v>0.3</v>
      </c>
      <c r="U248" s="35" t="s">
        <v>27</v>
      </c>
      <c r="V248" s="34">
        <f t="shared" si="22"/>
        <v>0.3</v>
      </c>
      <c r="W248" s="35" t="s">
        <v>27</v>
      </c>
      <c r="X248" s="34">
        <f t="shared" si="23"/>
        <v>0.3</v>
      </c>
      <c r="Y248" s="36">
        <f t="shared" si="24"/>
        <v>9792900.0000000019</v>
      </c>
      <c r="Z248" s="37" t="s">
        <v>664</v>
      </c>
    </row>
    <row r="249" spans="1:26" ht="28.5" x14ac:dyDescent="0.25">
      <c r="A249" s="1" t="s">
        <v>22</v>
      </c>
      <c r="B249" s="15" t="s">
        <v>23</v>
      </c>
      <c r="C249" s="28" t="s">
        <v>28</v>
      </c>
      <c r="D249" s="29">
        <f>MAX($D$8:D248)+1</f>
        <v>228</v>
      </c>
      <c r="E249" s="76" t="s">
        <v>287</v>
      </c>
      <c r="F249" s="47">
        <v>5623448818</v>
      </c>
      <c r="G249" s="52">
        <v>2.67</v>
      </c>
      <c r="H249" s="52"/>
      <c r="I249" s="52"/>
      <c r="J249" s="34">
        <f t="shared" si="19"/>
        <v>2.67</v>
      </c>
      <c r="K249" s="52">
        <v>2.67</v>
      </c>
      <c r="L249" s="52"/>
      <c r="M249" s="52"/>
      <c r="N249" s="34">
        <f t="shared" si="19"/>
        <v>2.67</v>
      </c>
      <c r="O249" s="52">
        <v>2.67</v>
      </c>
      <c r="P249" s="52"/>
      <c r="Q249" s="52"/>
      <c r="R249" s="34">
        <f t="shared" si="20"/>
        <v>2.67</v>
      </c>
      <c r="S249" s="35" t="s">
        <v>27</v>
      </c>
      <c r="T249" s="34">
        <f t="shared" si="21"/>
        <v>0.3</v>
      </c>
      <c r="U249" s="35" t="s">
        <v>27</v>
      </c>
      <c r="V249" s="34">
        <f t="shared" si="22"/>
        <v>0.3</v>
      </c>
      <c r="W249" s="35" t="s">
        <v>27</v>
      </c>
      <c r="X249" s="34">
        <f t="shared" si="23"/>
        <v>0.3</v>
      </c>
      <c r="Y249" s="36">
        <f t="shared" si="24"/>
        <v>5623019.9999999991</v>
      </c>
      <c r="Z249" s="37" t="s">
        <v>665</v>
      </c>
    </row>
    <row r="250" spans="1:26" ht="28.5" x14ac:dyDescent="0.25">
      <c r="A250" s="1" t="s">
        <v>22</v>
      </c>
      <c r="B250" s="15" t="s">
        <v>23</v>
      </c>
      <c r="C250" s="28" t="s">
        <v>28</v>
      </c>
      <c r="D250" s="29">
        <f>MAX($D$8:D249)+1</f>
        <v>229</v>
      </c>
      <c r="E250" s="80" t="s">
        <v>288</v>
      </c>
      <c r="F250" s="47">
        <v>5623447921</v>
      </c>
      <c r="G250" s="93">
        <v>3</v>
      </c>
      <c r="H250" s="93"/>
      <c r="I250" s="93"/>
      <c r="J250" s="34">
        <f t="shared" si="19"/>
        <v>3</v>
      </c>
      <c r="K250" s="93">
        <v>3</v>
      </c>
      <c r="L250" s="93"/>
      <c r="M250" s="93"/>
      <c r="N250" s="34">
        <f t="shared" si="19"/>
        <v>3</v>
      </c>
      <c r="O250" s="93">
        <v>3</v>
      </c>
      <c r="P250" s="93"/>
      <c r="Q250" s="93"/>
      <c r="R250" s="34">
        <f t="shared" si="20"/>
        <v>3</v>
      </c>
      <c r="S250" s="35" t="s">
        <v>27</v>
      </c>
      <c r="T250" s="34">
        <f t="shared" si="21"/>
        <v>0.3</v>
      </c>
      <c r="U250" s="35" t="s">
        <v>27</v>
      </c>
      <c r="V250" s="34">
        <f t="shared" si="22"/>
        <v>0.3</v>
      </c>
      <c r="W250" s="35" t="s">
        <v>27</v>
      </c>
      <c r="X250" s="34">
        <f t="shared" si="23"/>
        <v>0.3</v>
      </c>
      <c r="Y250" s="36">
        <f t="shared" si="24"/>
        <v>6317999.9999999991</v>
      </c>
      <c r="Z250" s="37" t="s">
        <v>666</v>
      </c>
    </row>
    <row r="251" spans="1:26" ht="28.5" x14ac:dyDescent="0.25">
      <c r="A251" s="1" t="s">
        <v>22</v>
      </c>
      <c r="B251" s="15" t="s">
        <v>23</v>
      </c>
      <c r="C251" s="28" t="s">
        <v>28</v>
      </c>
      <c r="D251" s="29">
        <f>MAX($D$8:D250)+1</f>
        <v>230</v>
      </c>
      <c r="E251" s="76" t="s">
        <v>289</v>
      </c>
      <c r="F251" s="47">
        <v>8893373263</v>
      </c>
      <c r="G251" s="52">
        <v>2.67</v>
      </c>
      <c r="H251" s="52"/>
      <c r="I251" s="52"/>
      <c r="J251" s="34">
        <f t="shared" si="19"/>
        <v>2.67</v>
      </c>
      <c r="K251" s="52">
        <v>2.67</v>
      </c>
      <c r="L251" s="52"/>
      <c r="M251" s="52"/>
      <c r="N251" s="34">
        <f t="shared" si="19"/>
        <v>2.67</v>
      </c>
      <c r="O251" s="52">
        <v>2.67</v>
      </c>
      <c r="P251" s="52"/>
      <c r="Q251" s="52"/>
      <c r="R251" s="34">
        <f t="shared" si="20"/>
        <v>2.67</v>
      </c>
      <c r="S251" s="35" t="s">
        <v>27</v>
      </c>
      <c r="T251" s="34">
        <f t="shared" si="21"/>
        <v>0.3</v>
      </c>
      <c r="U251" s="35" t="s">
        <v>27</v>
      </c>
      <c r="V251" s="34">
        <f t="shared" si="22"/>
        <v>0.3</v>
      </c>
      <c r="W251" s="35" t="s">
        <v>27</v>
      </c>
      <c r="X251" s="34">
        <f t="shared" si="23"/>
        <v>0.3</v>
      </c>
      <c r="Y251" s="36">
        <f t="shared" si="24"/>
        <v>5623019.9999999991</v>
      </c>
      <c r="Z251" s="37" t="s">
        <v>667</v>
      </c>
    </row>
    <row r="252" spans="1:26" ht="28.5" x14ac:dyDescent="0.25">
      <c r="A252" s="1" t="s">
        <v>22</v>
      </c>
      <c r="B252" s="15" t="s">
        <v>23</v>
      </c>
      <c r="C252" s="28" t="s">
        <v>28</v>
      </c>
      <c r="D252" s="29">
        <f>MAX($D$8:D251)+1</f>
        <v>231</v>
      </c>
      <c r="E252" s="76" t="s">
        <v>290</v>
      </c>
      <c r="F252" s="47">
        <v>5623448182</v>
      </c>
      <c r="G252" s="52">
        <v>3.66</v>
      </c>
      <c r="H252" s="52"/>
      <c r="I252" s="52"/>
      <c r="J252" s="34">
        <f t="shared" si="19"/>
        <v>3.66</v>
      </c>
      <c r="K252" s="52">
        <v>3.66</v>
      </c>
      <c r="L252" s="52"/>
      <c r="M252" s="52"/>
      <c r="N252" s="34">
        <f t="shared" si="19"/>
        <v>3.66</v>
      </c>
      <c r="O252" s="52">
        <v>3.66</v>
      </c>
      <c r="P252" s="52"/>
      <c r="Q252" s="52"/>
      <c r="R252" s="34">
        <f t="shared" si="20"/>
        <v>3.66</v>
      </c>
      <c r="S252" s="35" t="s">
        <v>27</v>
      </c>
      <c r="T252" s="34">
        <f t="shared" si="21"/>
        <v>0.3</v>
      </c>
      <c r="U252" s="35" t="s">
        <v>27</v>
      </c>
      <c r="V252" s="34">
        <f t="shared" si="22"/>
        <v>0.3</v>
      </c>
      <c r="W252" s="35" t="s">
        <v>27</v>
      </c>
      <c r="X252" s="34">
        <f t="shared" si="23"/>
        <v>0.3</v>
      </c>
      <c r="Y252" s="36">
        <f t="shared" si="24"/>
        <v>7707960.0000000009</v>
      </c>
      <c r="Z252" s="37" t="s">
        <v>668</v>
      </c>
    </row>
    <row r="253" spans="1:26" ht="28.5" x14ac:dyDescent="0.25">
      <c r="A253" s="1" t="s">
        <v>22</v>
      </c>
      <c r="B253" s="15" t="s">
        <v>23</v>
      </c>
      <c r="C253" s="28" t="s">
        <v>28</v>
      </c>
      <c r="D253" s="29">
        <f>MAX($D$8:D252)+1</f>
        <v>232</v>
      </c>
      <c r="E253" s="76" t="s">
        <v>291</v>
      </c>
      <c r="F253" s="47">
        <v>8833375730</v>
      </c>
      <c r="G253" s="52">
        <v>3.99</v>
      </c>
      <c r="H253" s="52"/>
      <c r="I253" s="52"/>
      <c r="J253" s="34">
        <f t="shared" si="19"/>
        <v>3.99</v>
      </c>
      <c r="K253" s="52">
        <v>3.99</v>
      </c>
      <c r="L253" s="52"/>
      <c r="M253" s="52"/>
      <c r="N253" s="34">
        <f t="shared" si="19"/>
        <v>3.99</v>
      </c>
      <c r="O253" s="52">
        <v>3.99</v>
      </c>
      <c r="P253" s="52"/>
      <c r="Q253" s="52"/>
      <c r="R253" s="34">
        <f t="shared" si="20"/>
        <v>3.99</v>
      </c>
      <c r="S253" s="35" t="s">
        <v>27</v>
      </c>
      <c r="T253" s="34">
        <f t="shared" si="21"/>
        <v>0.3</v>
      </c>
      <c r="U253" s="35" t="s">
        <v>27</v>
      </c>
      <c r="V253" s="34">
        <f t="shared" si="22"/>
        <v>0.3</v>
      </c>
      <c r="W253" s="35" t="s">
        <v>27</v>
      </c>
      <c r="X253" s="34">
        <f t="shared" si="23"/>
        <v>0.3</v>
      </c>
      <c r="Y253" s="36">
        <f t="shared" si="24"/>
        <v>8402940</v>
      </c>
      <c r="Z253" s="37" t="s">
        <v>669</v>
      </c>
    </row>
    <row r="254" spans="1:26" ht="28.5" x14ac:dyDescent="0.25">
      <c r="A254" s="1" t="s">
        <v>22</v>
      </c>
      <c r="B254" s="15" t="s">
        <v>23</v>
      </c>
      <c r="C254" s="28" t="s">
        <v>28</v>
      </c>
      <c r="D254" s="29">
        <f>MAX($D$8:D253)+1</f>
        <v>233</v>
      </c>
      <c r="E254" s="76" t="s">
        <v>292</v>
      </c>
      <c r="F254" s="47">
        <v>8888150718</v>
      </c>
      <c r="G254" s="52">
        <v>3</v>
      </c>
      <c r="H254" s="52"/>
      <c r="I254" s="52"/>
      <c r="J254" s="34">
        <f t="shared" si="19"/>
        <v>3</v>
      </c>
      <c r="K254" s="52">
        <v>3</v>
      </c>
      <c r="L254" s="52"/>
      <c r="M254" s="52"/>
      <c r="N254" s="34">
        <f t="shared" si="19"/>
        <v>3</v>
      </c>
      <c r="O254" s="52">
        <v>3</v>
      </c>
      <c r="P254" s="52"/>
      <c r="Q254" s="52"/>
      <c r="R254" s="34">
        <f t="shared" si="20"/>
        <v>3</v>
      </c>
      <c r="S254" s="35" t="s">
        <v>27</v>
      </c>
      <c r="T254" s="34">
        <f t="shared" si="21"/>
        <v>0.3</v>
      </c>
      <c r="U254" s="35" t="s">
        <v>27</v>
      </c>
      <c r="V254" s="34">
        <f t="shared" si="22"/>
        <v>0.3</v>
      </c>
      <c r="W254" s="35" t="s">
        <v>27</v>
      </c>
      <c r="X254" s="34">
        <f t="shared" si="23"/>
        <v>0.3</v>
      </c>
      <c r="Y254" s="36">
        <f t="shared" si="24"/>
        <v>6317999.9999999991</v>
      </c>
      <c r="Z254" s="37" t="s">
        <v>670</v>
      </c>
    </row>
    <row r="255" spans="1:26" ht="28.5" x14ac:dyDescent="0.25">
      <c r="A255" s="1" t="s">
        <v>22</v>
      </c>
      <c r="B255" s="15" t="s">
        <v>23</v>
      </c>
      <c r="C255" s="28" t="s">
        <v>28</v>
      </c>
      <c r="D255" s="29">
        <f>MAX($D$8:D254)+1</f>
        <v>234</v>
      </c>
      <c r="E255" s="70" t="s">
        <v>293</v>
      </c>
      <c r="F255" s="47">
        <v>8833373275</v>
      </c>
      <c r="G255" s="52">
        <v>3.33</v>
      </c>
      <c r="H255" s="52"/>
      <c r="I255" s="52"/>
      <c r="J255" s="34">
        <f t="shared" si="19"/>
        <v>3.33</v>
      </c>
      <c r="K255" s="52">
        <v>3.33</v>
      </c>
      <c r="L255" s="52"/>
      <c r="M255" s="52"/>
      <c r="N255" s="34">
        <f t="shared" si="19"/>
        <v>3.33</v>
      </c>
      <c r="O255" s="52">
        <v>3.33</v>
      </c>
      <c r="P255" s="52"/>
      <c r="Q255" s="52"/>
      <c r="R255" s="34">
        <f t="shared" si="20"/>
        <v>3.33</v>
      </c>
      <c r="S255" s="35" t="s">
        <v>27</v>
      </c>
      <c r="T255" s="34">
        <f t="shared" si="21"/>
        <v>0.3</v>
      </c>
      <c r="U255" s="35" t="s">
        <v>27</v>
      </c>
      <c r="V255" s="34">
        <f t="shared" si="22"/>
        <v>0.3</v>
      </c>
      <c r="W255" s="35" t="s">
        <v>27</v>
      </c>
      <c r="X255" s="34">
        <f t="shared" si="23"/>
        <v>0.3</v>
      </c>
      <c r="Y255" s="36">
        <f t="shared" si="24"/>
        <v>7012980</v>
      </c>
      <c r="Z255" s="37" t="s">
        <v>671</v>
      </c>
    </row>
    <row r="256" spans="1:26" ht="28.5" x14ac:dyDescent="0.25">
      <c r="A256" s="1" t="s">
        <v>22</v>
      </c>
      <c r="B256" s="15" t="s">
        <v>23</v>
      </c>
      <c r="C256" s="28" t="s">
        <v>28</v>
      </c>
      <c r="D256" s="29">
        <f>MAX($D$8:D255)+1</f>
        <v>235</v>
      </c>
      <c r="E256" s="76" t="s">
        <v>294</v>
      </c>
      <c r="F256" s="47">
        <v>5623455261</v>
      </c>
      <c r="G256" s="52">
        <v>3</v>
      </c>
      <c r="H256" s="52"/>
      <c r="I256" s="52"/>
      <c r="J256" s="34">
        <f t="shared" si="19"/>
        <v>3</v>
      </c>
      <c r="K256" s="52">
        <v>3</v>
      </c>
      <c r="L256" s="52"/>
      <c r="M256" s="52"/>
      <c r="N256" s="34">
        <f t="shared" si="19"/>
        <v>3</v>
      </c>
      <c r="O256" s="52">
        <v>3</v>
      </c>
      <c r="P256" s="52"/>
      <c r="Q256" s="52"/>
      <c r="R256" s="34">
        <f t="shared" si="20"/>
        <v>3</v>
      </c>
      <c r="S256" s="35" t="s">
        <v>27</v>
      </c>
      <c r="T256" s="34">
        <f t="shared" si="21"/>
        <v>0.3</v>
      </c>
      <c r="U256" s="35" t="s">
        <v>27</v>
      </c>
      <c r="V256" s="34">
        <f t="shared" si="22"/>
        <v>0.3</v>
      </c>
      <c r="W256" s="35" t="s">
        <v>27</v>
      </c>
      <c r="X256" s="34">
        <f t="shared" si="23"/>
        <v>0.3</v>
      </c>
      <c r="Y256" s="36">
        <f t="shared" si="24"/>
        <v>6317999.9999999991</v>
      </c>
      <c r="Z256" s="37" t="s">
        <v>672</v>
      </c>
    </row>
    <row r="257" spans="1:26" ht="28.5" x14ac:dyDescent="0.25">
      <c r="A257" s="1" t="s">
        <v>22</v>
      </c>
      <c r="B257" s="15" t="s">
        <v>23</v>
      </c>
      <c r="C257" s="28" t="s">
        <v>28</v>
      </c>
      <c r="D257" s="29">
        <f>MAX($D$8:D256)+1</f>
        <v>236</v>
      </c>
      <c r="E257" s="62" t="s">
        <v>295</v>
      </c>
      <c r="F257" s="47">
        <v>5623455030</v>
      </c>
      <c r="G257" s="78">
        <v>3</v>
      </c>
      <c r="H257" s="78"/>
      <c r="I257" s="78"/>
      <c r="J257" s="34">
        <f t="shared" si="19"/>
        <v>3</v>
      </c>
      <c r="K257" s="78">
        <v>3</v>
      </c>
      <c r="L257" s="78"/>
      <c r="M257" s="78"/>
      <c r="N257" s="34">
        <f t="shared" si="19"/>
        <v>3</v>
      </c>
      <c r="O257" s="78">
        <v>3</v>
      </c>
      <c r="P257" s="78"/>
      <c r="Q257" s="78"/>
      <c r="R257" s="34">
        <f t="shared" si="20"/>
        <v>3</v>
      </c>
      <c r="S257" s="35" t="s">
        <v>27</v>
      </c>
      <c r="T257" s="34">
        <f t="shared" si="21"/>
        <v>0.3</v>
      </c>
      <c r="U257" s="35" t="s">
        <v>27</v>
      </c>
      <c r="V257" s="34">
        <f t="shared" si="22"/>
        <v>0.3</v>
      </c>
      <c r="W257" s="35" t="s">
        <v>27</v>
      </c>
      <c r="X257" s="34">
        <f t="shared" si="23"/>
        <v>0.3</v>
      </c>
      <c r="Y257" s="36">
        <f t="shared" si="24"/>
        <v>6317999.9999999991</v>
      </c>
      <c r="Z257" s="37" t="s">
        <v>673</v>
      </c>
    </row>
    <row r="258" spans="1:26" ht="28.5" x14ac:dyDescent="0.25">
      <c r="A258" s="1" t="s">
        <v>22</v>
      </c>
      <c r="B258" s="15" t="s">
        <v>23</v>
      </c>
      <c r="C258" s="28" t="s">
        <v>28</v>
      </c>
      <c r="D258" s="29">
        <f>MAX($D$8:D257)+1</f>
        <v>237</v>
      </c>
      <c r="E258" s="83" t="s">
        <v>296</v>
      </c>
      <c r="F258" s="47">
        <v>8873283276</v>
      </c>
      <c r="G258" s="97">
        <v>2.67</v>
      </c>
      <c r="H258" s="97"/>
      <c r="I258" s="97"/>
      <c r="J258" s="34">
        <f t="shared" si="19"/>
        <v>2.67</v>
      </c>
      <c r="K258" s="97">
        <v>2.67</v>
      </c>
      <c r="L258" s="97"/>
      <c r="M258" s="97"/>
      <c r="N258" s="34">
        <f t="shared" si="19"/>
        <v>2.67</v>
      </c>
      <c r="O258" s="97">
        <v>2.67</v>
      </c>
      <c r="P258" s="97"/>
      <c r="Q258" s="97"/>
      <c r="R258" s="34">
        <f t="shared" si="20"/>
        <v>2.67</v>
      </c>
      <c r="S258" s="35" t="s">
        <v>27</v>
      </c>
      <c r="T258" s="34">
        <f t="shared" si="21"/>
        <v>0.3</v>
      </c>
      <c r="U258" s="35" t="s">
        <v>27</v>
      </c>
      <c r="V258" s="34">
        <f t="shared" si="22"/>
        <v>0.3</v>
      </c>
      <c r="W258" s="35" t="s">
        <v>27</v>
      </c>
      <c r="X258" s="34">
        <f t="shared" si="23"/>
        <v>0.3</v>
      </c>
      <c r="Y258" s="36">
        <f t="shared" si="24"/>
        <v>5623019.9999999991</v>
      </c>
      <c r="Z258" s="37" t="s">
        <v>674</v>
      </c>
    </row>
    <row r="259" spans="1:26" ht="28.5" x14ac:dyDescent="0.25">
      <c r="A259" s="1" t="s">
        <v>22</v>
      </c>
      <c r="B259" s="15" t="s">
        <v>23</v>
      </c>
      <c r="C259" s="28" t="s">
        <v>28</v>
      </c>
      <c r="D259" s="29">
        <f>MAX($D$8:D258)+1</f>
        <v>238</v>
      </c>
      <c r="E259" s="30" t="s">
        <v>297</v>
      </c>
      <c r="F259" s="31">
        <v>5611148364</v>
      </c>
      <c r="G259" s="32">
        <v>4.6500000000000004</v>
      </c>
      <c r="H259" s="32"/>
      <c r="I259" s="32"/>
      <c r="J259" s="34">
        <f t="shared" si="19"/>
        <v>4.6500000000000004</v>
      </c>
      <c r="K259" s="32">
        <v>4.6500000000000004</v>
      </c>
      <c r="L259" s="32"/>
      <c r="M259" s="32"/>
      <c r="N259" s="34">
        <f t="shared" si="19"/>
        <v>4.6500000000000004</v>
      </c>
      <c r="O259" s="32">
        <v>4.6500000000000004</v>
      </c>
      <c r="P259" s="32"/>
      <c r="Q259" s="32"/>
      <c r="R259" s="34">
        <f t="shared" si="20"/>
        <v>4.6500000000000004</v>
      </c>
      <c r="S259" s="35" t="s">
        <v>27</v>
      </c>
      <c r="T259" s="34">
        <f t="shared" si="21"/>
        <v>0.3</v>
      </c>
      <c r="U259" s="35" t="s">
        <v>27</v>
      </c>
      <c r="V259" s="34">
        <f t="shared" si="22"/>
        <v>0.3</v>
      </c>
      <c r="W259" s="35" t="s">
        <v>27</v>
      </c>
      <c r="X259" s="34">
        <f t="shared" si="23"/>
        <v>0.3</v>
      </c>
      <c r="Y259" s="36">
        <f t="shared" si="24"/>
        <v>9792900.0000000019</v>
      </c>
      <c r="Z259" s="37" t="s">
        <v>675</v>
      </c>
    </row>
    <row r="260" spans="1:26" ht="28.5" x14ac:dyDescent="0.25">
      <c r="A260" s="1" t="s">
        <v>22</v>
      </c>
      <c r="B260" s="15" t="s">
        <v>23</v>
      </c>
      <c r="C260" s="28" t="s">
        <v>28</v>
      </c>
      <c r="D260" s="29">
        <f>MAX($D$8:D259)+1</f>
        <v>239</v>
      </c>
      <c r="E260" s="30" t="s">
        <v>298</v>
      </c>
      <c r="F260" s="31">
        <v>5611148850</v>
      </c>
      <c r="G260" s="32">
        <v>3.99</v>
      </c>
      <c r="H260" s="32"/>
      <c r="I260" s="32"/>
      <c r="J260" s="34">
        <f t="shared" si="19"/>
        <v>3.99</v>
      </c>
      <c r="K260" s="32">
        <v>3.99</v>
      </c>
      <c r="L260" s="32"/>
      <c r="M260" s="32"/>
      <c r="N260" s="34">
        <f t="shared" si="19"/>
        <v>3.99</v>
      </c>
      <c r="O260" s="61">
        <v>4.32</v>
      </c>
      <c r="P260" s="61"/>
      <c r="Q260" s="61"/>
      <c r="R260" s="34">
        <f t="shared" si="20"/>
        <v>4.32</v>
      </c>
      <c r="S260" s="35" t="s">
        <v>27</v>
      </c>
      <c r="T260" s="34">
        <f t="shared" si="21"/>
        <v>0.3</v>
      </c>
      <c r="U260" s="35" t="s">
        <v>27</v>
      </c>
      <c r="V260" s="34">
        <f t="shared" si="22"/>
        <v>0.3</v>
      </c>
      <c r="W260" s="35" t="s">
        <v>27</v>
      </c>
      <c r="X260" s="34">
        <f t="shared" si="23"/>
        <v>0.3</v>
      </c>
      <c r="Y260" s="36">
        <f t="shared" si="24"/>
        <v>8634600</v>
      </c>
      <c r="Z260" s="37" t="s">
        <v>676</v>
      </c>
    </row>
    <row r="261" spans="1:26" ht="28.5" x14ac:dyDescent="0.25">
      <c r="A261" s="1" t="s">
        <v>22</v>
      </c>
      <c r="B261" s="15" t="s">
        <v>23</v>
      </c>
      <c r="C261" s="28" t="s">
        <v>28</v>
      </c>
      <c r="D261" s="29">
        <f>MAX($D$8:D260)+1</f>
        <v>240</v>
      </c>
      <c r="E261" s="64" t="s">
        <v>299</v>
      </c>
      <c r="F261" s="31">
        <v>5611149084</v>
      </c>
      <c r="G261" s="32">
        <v>3.99</v>
      </c>
      <c r="H261" s="32"/>
      <c r="I261" s="32"/>
      <c r="J261" s="34">
        <f t="shared" si="19"/>
        <v>3.99</v>
      </c>
      <c r="K261" s="32">
        <v>3.99</v>
      </c>
      <c r="L261" s="32"/>
      <c r="M261" s="32"/>
      <c r="N261" s="34">
        <f t="shared" si="19"/>
        <v>3.99</v>
      </c>
      <c r="O261" s="61">
        <v>4.32</v>
      </c>
      <c r="P261" s="61"/>
      <c r="Q261" s="61"/>
      <c r="R261" s="34">
        <f t="shared" si="20"/>
        <v>4.32</v>
      </c>
      <c r="S261" s="35" t="s">
        <v>27</v>
      </c>
      <c r="T261" s="34">
        <f t="shared" si="21"/>
        <v>0.3</v>
      </c>
      <c r="U261" s="35" t="s">
        <v>27</v>
      </c>
      <c r="V261" s="34">
        <f t="shared" si="22"/>
        <v>0.3</v>
      </c>
      <c r="W261" s="35" t="s">
        <v>27</v>
      </c>
      <c r="X261" s="34">
        <f t="shared" si="23"/>
        <v>0.3</v>
      </c>
      <c r="Y261" s="36">
        <f t="shared" si="24"/>
        <v>8634600</v>
      </c>
      <c r="Z261" s="37" t="s">
        <v>677</v>
      </c>
    </row>
    <row r="262" spans="1:26" ht="28.5" x14ac:dyDescent="0.25">
      <c r="A262" s="1" t="s">
        <v>22</v>
      </c>
      <c r="B262" s="15" t="s">
        <v>23</v>
      </c>
      <c r="C262" s="28" t="s">
        <v>28</v>
      </c>
      <c r="D262" s="29">
        <f>MAX($D$8:D261)+1</f>
        <v>241</v>
      </c>
      <c r="E262" s="64" t="s">
        <v>300</v>
      </c>
      <c r="F262" s="31">
        <v>5611149075</v>
      </c>
      <c r="G262" s="61">
        <v>4.32</v>
      </c>
      <c r="H262" s="61"/>
      <c r="I262" s="61"/>
      <c r="J262" s="34">
        <f t="shared" si="19"/>
        <v>4.32</v>
      </c>
      <c r="K262" s="32">
        <v>4.32</v>
      </c>
      <c r="L262" s="32"/>
      <c r="M262" s="32"/>
      <c r="N262" s="34">
        <f t="shared" si="19"/>
        <v>4.32</v>
      </c>
      <c r="O262" s="32">
        <v>4.32</v>
      </c>
      <c r="P262" s="32"/>
      <c r="Q262" s="32"/>
      <c r="R262" s="34">
        <f t="shared" si="20"/>
        <v>4.32</v>
      </c>
      <c r="S262" s="35" t="s">
        <v>27</v>
      </c>
      <c r="T262" s="34">
        <f t="shared" si="21"/>
        <v>0.3</v>
      </c>
      <c r="U262" s="35" t="s">
        <v>27</v>
      </c>
      <c r="V262" s="34">
        <f t="shared" si="22"/>
        <v>0.3</v>
      </c>
      <c r="W262" s="35" t="s">
        <v>27</v>
      </c>
      <c r="X262" s="34">
        <f t="shared" si="23"/>
        <v>0.3</v>
      </c>
      <c r="Y262" s="36">
        <f t="shared" si="24"/>
        <v>9097920</v>
      </c>
      <c r="Z262" s="37" t="s">
        <v>678</v>
      </c>
    </row>
    <row r="263" spans="1:26" ht="28.5" x14ac:dyDescent="0.25">
      <c r="A263" s="1" t="s">
        <v>22</v>
      </c>
      <c r="B263" s="15" t="s">
        <v>23</v>
      </c>
      <c r="C263" s="28" t="s">
        <v>28</v>
      </c>
      <c r="D263" s="29">
        <f>MAX($D$8:D262)+1</f>
        <v>242</v>
      </c>
      <c r="E263" s="64" t="s">
        <v>301</v>
      </c>
      <c r="F263" s="31">
        <v>5611148911</v>
      </c>
      <c r="G263" s="32">
        <v>3.33</v>
      </c>
      <c r="H263" s="32"/>
      <c r="I263" s="32"/>
      <c r="J263" s="34">
        <f t="shared" si="19"/>
        <v>3.33</v>
      </c>
      <c r="K263" s="32">
        <v>3.33</v>
      </c>
      <c r="L263" s="32"/>
      <c r="M263" s="32"/>
      <c r="N263" s="34">
        <f t="shared" si="19"/>
        <v>3.33</v>
      </c>
      <c r="O263" s="32">
        <v>3.33</v>
      </c>
      <c r="P263" s="32"/>
      <c r="Q263" s="32"/>
      <c r="R263" s="34">
        <f t="shared" si="20"/>
        <v>3.33</v>
      </c>
      <c r="S263" s="35" t="s">
        <v>27</v>
      </c>
      <c r="T263" s="34">
        <f t="shared" si="21"/>
        <v>0.3</v>
      </c>
      <c r="U263" s="35" t="s">
        <v>27</v>
      </c>
      <c r="V263" s="34">
        <f t="shared" si="22"/>
        <v>0.3</v>
      </c>
      <c r="W263" s="35" t="s">
        <v>27</v>
      </c>
      <c r="X263" s="34">
        <f t="shared" si="23"/>
        <v>0.3</v>
      </c>
      <c r="Y263" s="36">
        <f t="shared" si="24"/>
        <v>7012980</v>
      </c>
      <c r="Z263" s="37" t="s">
        <v>679</v>
      </c>
    </row>
    <row r="264" spans="1:26" ht="28.5" x14ac:dyDescent="0.25">
      <c r="A264" s="1" t="s">
        <v>22</v>
      </c>
      <c r="B264" s="15" t="s">
        <v>23</v>
      </c>
      <c r="C264" s="28" t="s">
        <v>28</v>
      </c>
      <c r="D264" s="29">
        <f>MAX($D$8:D263)+1</f>
        <v>243</v>
      </c>
      <c r="E264" s="30" t="s">
        <v>302</v>
      </c>
      <c r="F264" s="31">
        <v>5611148771</v>
      </c>
      <c r="G264" s="32">
        <v>3.03</v>
      </c>
      <c r="H264" s="32"/>
      <c r="I264" s="32"/>
      <c r="J264" s="34">
        <f t="shared" si="19"/>
        <v>3.03</v>
      </c>
      <c r="K264" s="32">
        <v>3.03</v>
      </c>
      <c r="L264" s="32"/>
      <c r="M264" s="32"/>
      <c r="N264" s="34">
        <f t="shared" si="19"/>
        <v>3.03</v>
      </c>
      <c r="O264" s="32">
        <v>3.03</v>
      </c>
      <c r="P264" s="32"/>
      <c r="Q264" s="32"/>
      <c r="R264" s="34">
        <f t="shared" si="20"/>
        <v>3.03</v>
      </c>
      <c r="S264" s="35" t="s">
        <v>27</v>
      </c>
      <c r="T264" s="34">
        <f t="shared" si="21"/>
        <v>0.3</v>
      </c>
      <c r="U264" s="35" t="s">
        <v>27</v>
      </c>
      <c r="V264" s="34">
        <f t="shared" si="22"/>
        <v>0.3</v>
      </c>
      <c r="W264" s="35" t="s">
        <v>27</v>
      </c>
      <c r="X264" s="34">
        <f t="shared" si="23"/>
        <v>0.3</v>
      </c>
      <c r="Y264" s="36">
        <f t="shared" si="24"/>
        <v>6381180</v>
      </c>
      <c r="Z264" s="37" t="s">
        <v>680</v>
      </c>
    </row>
    <row r="265" spans="1:26" ht="28.5" x14ac:dyDescent="0.25">
      <c r="A265" s="1" t="s">
        <v>22</v>
      </c>
      <c r="B265" s="15" t="s">
        <v>23</v>
      </c>
      <c r="C265" s="28" t="s">
        <v>28</v>
      </c>
      <c r="D265" s="29">
        <f>MAX($D$8:D264)+1</f>
        <v>244</v>
      </c>
      <c r="E265" s="64" t="s">
        <v>303</v>
      </c>
      <c r="F265" s="31">
        <v>5611151098</v>
      </c>
      <c r="G265" s="32">
        <v>3.66</v>
      </c>
      <c r="H265" s="32"/>
      <c r="I265" s="32"/>
      <c r="J265" s="34">
        <f t="shared" si="19"/>
        <v>3.66</v>
      </c>
      <c r="K265" s="32">
        <v>3.66</v>
      </c>
      <c r="L265" s="32"/>
      <c r="M265" s="32"/>
      <c r="N265" s="34">
        <f t="shared" si="19"/>
        <v>3.66</v>
      </c>
      <c r="O265" s="32">
        <v>3.66</v>
      </c>
      <c r="P265" s="32"/>
      <c r="Q265" s="32"/>
      <c r="R265" s="34">
        <f t="shared" si="20"/>
        <v>3.66</v>
      </c>
      <c r="S265" s="35" t="s">
        <v>27</v>
      </c>
      <c r="T265" s="34">
        <f t="shared" si="21"/>
        <v>0.3</v>
      </c>
      <c r="U265" s="35" t="s">
        <v>27</v>
      </c>
      <c r="V265" s="34">
        <f t="shared" si="22"/>
        <v>0.3</v>
      </c>
      <c r="W265" s="35" t="s">
        <v>27</v>
      </c>
      <c r="X265" s="34">
        <f t="shared" si="23"/>
        <v>0.3</v>
      </c>
      <c r="Y265" s="36">
        <f t="shared" si="24"/>
        <v>7707960.0000000009</v>
      </c>
      <c r="Z265" s="37" t="s">
        <v>681</v>
      </c>
    </row>
    <row r="266" spans="1:26" ht="28.5" x14ac:dyDescent="0.25">
      <c r="A266" s="1" t="s">
        <v>22</v>
      </c>
      <c r="B266" s="15" t="s">
        <v>23</v>
      </c>
      <c r="C266" s="28" t="s">
        <v>28</v>
      </c>
      <c r="D266" s="29">
        <f>MAX($D$8:D265)+1</f>
        <v>245</v>
      </c>
      <c r="E266" s="64" t="s">
        <v>304</v>
      </c>
      <c r="F266" s="31">
        <v>5610703007</v>
      </c>
      <c r="G266" s="32">
        <v>3.66</v>
      </c>
      <c r="H266" s="32"/>
      <c r="I266" s="32"/>
      <c r="J266" s="34">
        <f t="shared" ref="J266:N329" si="25">G266+H266+I266</f>
        <v>3.66</v>
      </c>
      <c r="K266" s="32">
        <v>3.66</v>
      </c>
      <c r="L266" s="32"/>
      <c r="M266" s="32"/>
      <c r="N266" s="34">
        <f t="shared" si="25"/>
        <v>3.66</v>
      </c>
      <c r="O266" s="32">
        <v>3.66</v>
      </c>
      <c r="P266" s="32"/>
      <c r="Q266" s="32"/>
      <c r="R266" s="34">
        <f t="shared" ref="R266:R329" si="26">O266+P266+Q266</f>
        <v>3.66</v>
      </c>
      <c r="S266" s="35" t="s">
        <v>27</v>
      </c>
      <c r="T266" s="34">
        <f t="shared" ref="T266:T330" si="27">IF(S266="hoàn thành xuất sắc nhiệm vụ",0.5,IF(S266="hoàn thành tốt nhiệm vụ",0.3,IF(S266="hoàn thành nhiệm vụ",0.1,0)))</f>
        <v>0.3</v>
      </c>
      <c r="U266" s="35" t="s">
        <v>27</v>
      </c>
      <c r="V266" s="34">
        <f t="shared" ref="V266:V330" si="28">IF(U266="hoàn thành xuất sắc nhiệm vụ",0.5,IF(U266="hoàn thành tốt nhiệm vụ",0.3,IF(U266="hoàn thành nhiệm vụ",0.1,0)))</f>
        <v>0.3</v>
      </c>
      <c r="W266" s="35" t="s">
        <v>27</v>
      </c>
      <c r="X266" s="34">
        <f t="shared" ref="X266:X330" si="29">IF(W266="hoàn thành xuất sắc nhiệm vụ",0.5,IF(W266="hoàn thành tốt nhiệm vụ",0.3,IF(W266="hoàn thành nhiệm vụ",0.1,0)))</f>
        <v>0.3</v>
      </c>
      <c r="Y266" s="36">
        <f t="shared" ref="Y266:Y329" si="30">(J266*T266+N266*V266+R266*X266)*2340000</f>
        <v>7707960.0000000009</v>
      </c>
      <c r="Z266" s="37" t="s">
        <v>682</v>
      </c>
    </row>
    <row r="267" spans="1:26" ht="28.5" x14ac:dyDescent="0.25">
      <c r="A267" s="1" t="s">
        <v>22</v>
      </c>
      <c r="B267" s="15" t="s">
        <v>23</v>
      </c>
      <c r="C267" s="28" t="s">
        <v>28</v>
      </c>
      <c r="D267" s="29">
        <f>MAX($D$8:D266)+1</f>
        <v>246</v>
      </c>
      <c r="E267" s="30" t="s">
        <v>305</v>
      </c>
      <c r="F267" s="31">
        <v>5611151371</v>
      </c>
      <c r="G267" s="61">
        <v>3.99</v>
      </c>
      <c r="H267" s="61"/>
      <c r="I267" s="61"/>
      <c r="J267" s="34">
        <f t="shared" si="25"/>
        <v>3.99</v>
      </c>
      <c r="K267" s="32">
        <v>3.99</v>
      </c>
      <c r="L267" s="32"/>
      <c r="M267" s="32"/>
      <c r="N267" s="34">
        <f t="shared" si="25"/>
        <v>3.99</v>
      </c>
      <c r="O267" s="32">
        <v>3.99</v>
      </c>
      <c r="P267" s="32"/>
      <c r="Q267" s="32"/>
      <c r="R267" s="34">
        <f t="shared" si="26"/>
        <v>3.99</v>
      </c>
      <c r="S267" s="35" t="s">
        <v>27</v>
      </c>
      <c r="T267" s="34">
        <f t="shared" si="27"/>
        <v>0.3</v>
      </c>
      <c r="U267" s="35" t="s">
        <v>27</v>
      </c>
      <c r="V267" s="34">
        <f t="shared" si="28"/>
        <v>0.3</v>
      </c>
      <c r="W267" s="35" t="s">
        <v>27</v>
      </c>
      <c r="X267" s="34">
        <f t="shared" si="29"/>
        <v>0.3</v>
      </c>
      <c r="Y267" s="36">
        <f t="shared" si="30"/>
        <v>8402940</v>
      </c>
      <c r="Z267" s="37" t="s">
        <v>683</v>
      </c>
    </row>
    <row r="268" spans="1:26" x14ac:dyDescent="0.25">
      <c r="B268" s="15"/>
      <c r="C268" s="28"/>
      <c r="D268" s="29" t="s">
        <v>20</v>
      </c>
      <c r="E268" s="44" t="s">
        <v>306</v>
      </c>
      <c r="F268" s="31"/>
      <c r="G268" s="32"/>
      <c r="H268" s="32"/>
      <c r="I268" s="32"/>
      <c r="J268" s="34"/>
      <c r="K268" s="32"/>
      <c r="L268" s="32"/>
      <c r="M268" s="32"/>
      <c r="N268" s="34"/>
      <c r="O268" s="32"/>
      <c r="P268" s="32"/>
      <c r="Q268" s="32"/>
      <c r="R268" s="34"/>
      <c r="S268" s="35"/>
      <c r="T268" s="34"/>
      <c r="U268" s="35"/>
      <c r="V268" s="34"/>
      <c r="W268" s="35"/>
      <c r="X268" s="34"/>
      <c r="Y268" s="36"/>
      <c r="Z268" s="37"/>
    </row>
    <row r="269" spans="1:26" ht="28.5" x14ac:dyDescent="0.25">
      <c r="A269" s="1" t="s">
        <v>22</v>
      </c>
      <c r="B269" s="15" t="s">
        <v>23</v>
      </c>
      <c r="C269" s="28" t="s">
        <v>307</v>
      </c>
      <c r="D269" s="29">
        <f>MAX($D$8:D268)+1</f>
        <v>247</v>
      </c>
      <c r="E269" s="30" t="s">
        <v>308</v>
      </c>
      <c r="F269" s="31">
        <v>5611151168</v>
      </c>
      <c r="G269" s="32">
        <v>5.42</v>
      </c>
      <c r="H269" s="33"/>
      <c r="I269" s="34">
        <v>0.6</v>
      </c>
      <c r="J269" s="34">
        <f t="shared" si="25"/>
        <v>6.02</v>
      </c>
      <c r="K269" s="32">
        <v>5.42</v>
      </c>
      <c r="L269" s="33"/>
      <c r="M269" s="34">
        <v>0.6</v>
      </c>
      <c r="N269" s="34">
        <f t="shared" si="25"/>
        <v>6.02</v>
      </c>
      <c r="O269" s="32">
        <v>5.42</v>
      </c>
      <c r="P269" s="33"/>
      <c r="Q269" s="34">
        <v>0.6</v>
      </c>
      <c r="R269" s="34">
        <f t="shared" si="26"/>
        <v>6.02</v>
      </c>
      <c r="S269" s="35" t="s">
        <v>27</v>
      </c>
      <c r="T269" s="34">
        <f t="shared" si="27"/>
        <v>0.3</v>
      </c>
      <c r="U269" s="35" t="s">
        <v>27</v>
      </c>
      <c r="V269" s="34">
        <f t="shared" si="28"/>
        <v>0.3</v>
      </c>
      <c r="W269" s="35" t="s">
        <v>27</v>
      </c>
      <c r="X269" s="34">
        <f t="shared" si="29"/>
        <v>0.3</v>
      </c>
      <c r="Y269" s="36">
        <f t="shared" si="30"/>
        <v>12678119.999999998</v>
      </c>
      <c r="Z269" s="37" t="s">
        <v>684</v>
      </c>
    </row>
    <row r="270" spans="1:26" ht="28.5" x14ac:dyDescent="0.25">
      <c r="A270" s="1" t="s">
        <v>22</v>
      </c>
      <c r="B270" s="15" t="s">
        <v>23</v>
      </c>
      <c r="C270" s="28" t="s">
        <v>307</v>
      </c>
      <c r="D270" s="29">
        <f>MAX($D$8:D269)+1</f>
        <v>248</v>
      </c>
      <c r="E270" s="30" t="s">
        <v>309</v>
      </c>
      <c r="F270" s="31">
        <v>5611150314</v>
      </c>
      <c r="G270" s="32">
        <v>4.9800000000000004</v>
      </c>
      <c r="H270" s="33">
        <f>G270*8%</f>
        <v>0.39840000000000003</v>
      </c>
      <c r="I270" s="34">
        <v>0.5</v>
      </c>
      <c r="J270" s="34">
        <f t="shared" si="25"/>
        <v>5.8784000000000001</v>
      </c>
      <c r="K270" s="32">
        <v>4.9800000000000004</v>
      </c>
      <c r="L270" s="33">
        <f>K270*8%</f>
        <v>0.39840000000000003</v>
      </c>
      <c r="M270" s="34">
        <v>0.5</v>
      </c>
      <c r="N270" s="34">
        <f t="shared" si="25"/>
        <v>5.8784000000000001</v>
      </c>
      <c r="O270" s="32">
        <v>4.9800000000000004</v>
      </c>
      <c r="P270" s="33">
        <f>O270*8%</f>
        <v>0.39840000000000003</v>
      </c>
      <c r="Q270" s="34">
        <v>0.5</v>
      </c>
      <c r="R270" s="34">
        <f t="shared" si="26"/>
        <v>5.8784000000000001</v>
      </c>
      <c r="S270" s="35" t="s">
        <v>27</v>
      </c>
      <c r="T270" s="34">
        <f t="shared" si="27"/>
        <v>0.3</v>
      </c>
      <c r="U270" s="35" t="s">
        <v>27</v>
      </c>
      <c r="V270" s="34">
        <f t="shared" si="28"/>
        <v>0.3</v>
      </c>
      <c r="W270" s="35" t="s">
        <v>27</v>
      </c>
      <c r="X270" s="34">
        <f t="shared" si="29"/>
        <v>0.3</v>
      </c>
      <c r="Y270" s="36">
        <f t="shared" si="30"/>
        <v>12379910.4</v>
      </c>
      <c r="Z270" s="37" t="s">
        <v>685</v>
      </c>
    </row>
    <row r="271" spans="1:26" ht="28.5" x14ac:dyDescent="0.25">
      <c r="A271" s="1" t="s">
        <v>22</v>
      </c>
      <c r="B271" s="15" t="s">
        <v>23</v>
      </c>
      <c r="C271" s="28" t="s">
        <v>307</v>
      </c>
      <c r="D271" s="29">
        <f>MAX($D$8:D270)+1</f>
        <v>249</v>
      </c>
      <c r="E271" s="64" t="s">
        <v>310</v>
      </c>
      <c r="F271" s="31">
        <v>5610413458</v>
      </c>
      <c r="G271" s="32">
        <v>3.33</v>
      </c>
      <c r="H271" s="33"/>
      <c r="I271" s="34"/>
      <c r="J271" s="34">
        <f t="shared" si="25"/>
        <v>3.33</v>
      </c>
      <c r="K271" s="32">
        <v>3.33</v>
      </c>
      <c r="L271" s="33"/>
      <c r="M271" s="34"/>
      <c r="N271" s="34">
        <f t="shared" si="25"/>
        <v>3.33</v>
      </c>
      <c r="O271" s="32">
        <v>3.33</v>
      </c>
      <c r="P271" s="33"/>
      <c r="Q271" s="34"/>
      <c r="R271" s="34">
        <f t="shared" si="26"/>
        <v>3.33</v>
      </c>
      <c r="S271" s="35" t="s">
        <v>27</v>
      </c>
      <c r="T271" s="34">
        <f t="shared" si="27"/>
        <v>0.3</v>
      </c>
      <c r="U271" s="35" t="s">
        <v>27</v>
      </c>
      <c r="V271" s="34">
        <f t="shared" si="28"/>
        <v>0.3</v>
      </c>
      <c r="W271" s="35" t="s">
        <v>27</v>
      </c>
      <c r="X271" s="34">
        <f t="shared" si="29"/>
        <v>0.3</v>
      </c>
      <c r="Y271" s="36">
        <f t="shared" si="30"/>
        <v>7012980</v>
      </c>
      <c r="Z271" s="37" t="s">
        <v>686</v>
      </c>
    </row>
    <row r="272" spans="1:26" ht="28.5" x14ac:dyDescent="0.25">
      <c r="A272" s="1" t="s">
        <v>22</v>
      </c>
      <c r="B272" s="15" t="s">
        <v>23</v>
      </c>
      <c r="C272" s="28" t="s">
        <v>307</v>
      </c>
      <c r="D272" s="29">
        <f>MAX($D$8:D271)+1</f>
        <v>250</v>
      </c>
      <c r="E272" s="64" t="s">
        <v>311</v>
      </c>
      <c r="F272" s="31">
        <v>5610286784</v>
      </c>
      <c r="G272" s="32">
        <v>4.9800000000000004</v>
      </c>
      <c r="H272" s="33">
        <f>G272*5%</f>
        <v>0.24900000000000003</v>
      </c>
      <c r="I272" s="34"/>
      <c r="J272" s="34">
        <f t="shared" si="25"/>
        <v>5.2290000000000001</v>
      </c>
      <c r="K272" s="32">
        <v>4.9800000000000004</v>
      </c>
      <c r="L272" s="33">
        <f>K272*5%</f>
        <v>0.24900000000000003</v>
      </c>
      <c r="M272" s="34"/>
      <c r="N272" s="34">
        <f t="shared" si="25"/>
        <v>5.2290000000000001</v>
      </c>
      <c r="O272" s="32">
        <v>4.9800000000000004</v>
      </c>
      <c r="P272" s="33">
        <f>O272*5%</f>
        <v>0.24900000000000003</v>
      </c>
      <c r="Q272" s="34"/>
      <c r="R272" s="34">
        <f t="shared" si="26"/>
        <v>5.2290000000000001</v>
      </c>
      <c r="S272" s="35" t="s">
        <v>27</v>
      </c>
      <c r="T272" s="34">
        <f t="shared" si="27"/>
        <v>0.3</v>
      </c>
      <c r="U272" s="35" t="s">
        <v>27</v>
      </c>
      <c r="V272" s="34">
        <f t="shared" si="28"/>
        <v>0.3</v>
      </c>
      <c r="W272" s="35" t="s">
        <v>27</v>
      </c>
      <c r="X272" s="34">
        <f t="shared" si="29"/>
        <v>0.3</v>
      </c>
      <c r="Y272" s="36">
        <f t="shared" si="30"/>
        <v>11012274</v>
      </c>
      <c r="Z272" s="37" t="s">
        <v>687</v>
      </c>
    </row>
    <row r="273" spans="1:26" ht="28.5" x14ac:dyDescent="0.25">
      <c r="A273" s="1" t="s">
        <v>22</v>
      </c>
      <c r="B273" s="15" t="s">
        <v>23</v>
      </c>
      <c r="C273" s="28" t="s">
        <v>307</v>
      </c>
      <c r="D273" s="29">
        <f>MAX($D$8:D272)+1</f>
        <v>251</v>
      </c>
      <c r="E273" s="30" t="s">
        <v>312</v>
      </c>
      <c r="F273" s="31">
        <v>5611149923</v>
      </c>
      <c r="G273" s="32">
        <v>4.9800000000000004</v>
      </c>
      <c r="H273" s="33"/>
      <c r="I273" s="34"/>
      <c r="J273" s="34">
        <f t="shared" si="25"/>
        <v>4.9800000000000004</v>
      </c>
      <c r="K273" s="32">
        <v>4.9800000000000004</v>
      </c>
      <c r="L273" s="33"/>
      <c r="M273" s="34"/>
      <c r="N273" s="34">
        <f t="shared" si="25"/>
        <v>4.9800000000000004</v>
      </c>
      <c r="O273" s="32">
        <v>4.9800000000000004</v>
      </c>
      <c r="P273" s="33"/>
      <c r="Q273" s="34"/>
      <c r="R273" s="34">
        <f t="shared" si="26"/>
        <v>4.9800000000000004</v>
      </c>
      <c r="S273" s="35" t="s">
        <v>27</v>
      </c>
      <c r="T273" s="34">
        <f t="shared" si="27"/>
        <v>0.3</v>
      </c>
      <c r="U273" s="35" t="s">
        <v>27</v>
      </c>
      <c r="V273" s="34">
        <f t="shared" si="28"/>
        <v>0.3</v>
      </c>
      <c r="W273" s="35" t="s">
        <v>27</v>
      </c>
      <c r="X273" s="34">
        <f t="shared" si="29"/>
        <v>0.3</v>
      </c>
      <c r="Y273" s="36">
        <f t="shared" si="30"/>
        <v>10487880</v>
      </c>
      <c r="Z273" s="37" t="s">
        <v>688</v>
      </c>
    </row>
    <row r="274" spans="1:26" ht="28.5" x14ac:dyDescent="0.25">
      <c r="A274" s="1" t="s">
        <v>22</v>
      </c>
      <c r="B274" s="15" t="s">
        <v>23</v>
      </c>
      <c r="C274" s="28" t="s">
        <v>307</v>
      </c>
      <c r="D274" s="29">
        <f>MAX($D$8:D273)+1</f>
        <v>252</v>
      </c>
      <c r="E274" s="64" t="s">
        <v>313</v>
      </c>
      <c r="F274" s="31">
        <v>5611150077</v>
      </c>
      <c r="G274" s="32">
        <v>4.2699999999999996</v>
      </c>
      <c r="H274" s="33"/>
      <c r="I274" s="34"/>
      <c r="J274" s="34">
        <f t="shared" si="25"/>
        <v>4.2699999999999996</v>
      </c>
      <c r="K274" s="32">
        <v>4.2699999999999996</v>
      </c>
      <c r="L274" s="33"/>
      <c r="M274" s="34"/>
      <c r="N274" s="34">
        <f t="shared" si="25"/>
        <v>4.2699999999999996</v>
      </c>
      <c r="O274" s="32">
        <v>4.2699999999999996</v>
      </c>
      <c r="P274" s="33"/>
      <c r="Q274" s="34"/>
      <c r="R274" s="34">
        <f t="shared" si="26"/>
        <v>4.2699999999999996</v>
      </c>
      <c r="S274" s="35" t="s">
        <v>27</v>
      </c>
      <c r="T274" s="34">
        <f t="shared" si="27"/>
        <v>0.3</v>
      </c>
      <c r="U274" s="35" t="s">
        <v>27</v>
      </c>
      <c r="V274" s="34">
        <f t="shared" si="28"/>
        <v>0.3</v>
      </c>
      <c r="W274" s="35" t="s">
        <v>27</v>
      </c>
      <c r="X274" s="34">
        <f t="shared" si="29"/>
        <v>0.3</v>
      </c>
      <c r="Y274" s="36">
        <f t="shared" si="30"/>
        <v>8992620</v>
      </c>
      <c r="Z274" s="37" t="s">
        <v>689</v>
      </c>
    </row>
    <row r="275" spans="1:26" ht="28.5" x14ac:dyDescent="0.25">
      <c r="A275" s="1" t="s">
        <v>22</v>
      </c>
      <c r="B275" s="15" t="s">
        <v>23</v>
      </c>
      <c r="C275" s="28" t="s">
        <v>307</v>
      </c>
      <c r="D275" s="29">
        <f>MAX($D$8:D274)+1</f>
        <v>253</v>
      </c>
      <c r="E275" s="64" t="s">
        <v>314</v>
      </c>
      <c r="F275" s="31">
        <v>5610544002</v>
      </c>
      <c r="G275" s="32">
        <v>4.0599999999999996</v>
      </c>
      <c r="H275" s="33">
        <f>G275*10%</f>
        <v>0.40599999999999997</v>
      </c>
      <c r="I275" s="34"/>
      <c r="J275" s="34">
        <f t="shared" si="25"/>
        <v>4.4659999999999993</v>
      </c>
      <c r="K275" s="32">
        <v>4.0599999999999996</v>
      </c>
      <c r="L275" s="33">
        <f>K275*10%</f>
        <v>0.40599999999999997</v>
      </c>
      <c r="M275" s="34"/>
      <c r="N275" s="34">
        <f t="shared" si="25"/>
        <v>4.4659999999999993</v>
      </c>
      <c r="O275" s="32">
        <v>4.0599999999999996</v>
      </c>
      <c r="P275" s="33">
        <f>O275*10%</f>
        <v>0.40599999999999997</v>
      </c>
      <c r="Q275" s="34"/>
      <c r="R275" s="34">
        <f t="shared" si="26"/>
        <v>4.4659999999999993</v>
      </c>
      <c r="S275" s="35" t="s">
        <v>27</v>
      </c>
      <c r="T275" s="34">
        <f t="shared" si="27"/>
        <v>0.3</v>
      </c>
      <c r="U275" s="35" t="s">
        <v>27</v>
      </c>
      <c r="V275" s="34">
        <f t="shared" si="28"/>
        <v>0.3</v>
      </c>
      <c r="W275" s="35" t="s">
        <v>27</v>
      </c>
      <c r="X275" s="34">
        <f t="shared" si="29"/>
        <v>0.3</v>
      </c>
      <c r="Y275" s="36">
        <f t="shared" si="30"/>
        <v>9405395.9999999981</v>
      </c>
      <c r="Z275" s="37" t="s">
        <v>690</v>
      </c>
    </row>
    <row r="276" spans="1:26" ht="28.5" x14ac:dyDescent="0.25">
      <c r="A276" s="1" t="s">
        <v>22</v>
      </c>
      <c r="B276" s="15" t="s">
        <v>23</v>
      </c>
      <c r="C276" s="28" t="s">
        <v>307</v>
      </c>
      <c r="D276" s="29">
        <f>MAX($D$8:D275)+1</f>
        <v>254</v>
      </c>
      <c r="E276" s="30" t="s">
        <v>315</v>
      </c>
      <c r="F276" s="31">
        <v>5611150031</v>
      </c>
      <c r="G276" s="32">
        <v>4.58</v>
      </c>
      <c r="H276" s="33"/>
      <c r="I276" s="34"/>
      <c r="J276" s="34">
        <f t="shared" si="25"/>
        <v>4.58</v>
      </c>
      <c r="K276" s="32">
        <v>4.58</v>
      </c>
      <c r="L276" s="33"/>
      <c r="M276" s="34"/>
      <c r="N276" s="34">
        <f t="shared" si="25"/>
        <v>4.58</v>
      </c>
      <c r="O276" s="32">
        <v>4.58</v>
      </c>
      <c r="P276" s="33"/>
      <c r="Q276" s="34"/>
      <c r="R276" s="34">
        <f t="shared" si="26"/>
        <v>4.58</v>
      </c>
      <c r="S276" s="35" t="s">
        <v>27</v>
      </c>
      <c r="T276" s="34">
        <f t="shared" si="27"/>
        <v>0.3</v>
      </c>
      <c r="U276" s="35" t="s">
        <v>27</v>
      </c>
      <c r="V276" s="34">
        <f t="shared" si="28"/>
        <v>0.3</v>
      </c>
      <c r="W276" s="35" t="s">
        <v>27</v>
      </c>
      <c r="X276" s="34">
        <f t="shared" si="29"/>
        <v>0.3</v>
      </c>
      <c r="Y276" s="36">
        <f t="shared" si="30"/>
        <v>9645480</v>
      </c>
      <c r="Z276" s="37" t="s">
        <v>691</v>
      </c>
    </row>
    <row r="277" spans="1:26" ht="28.5" x14ac:dyDescent="0.25">
      <c r="A277" s="1" t="s">
        <v>22</v>
      </c>
      <c r="B277" s="15" t="s">
        <v>23</v>
      </c>
      <c r="C277" s="28" t="s">
        <v>307</v>
      </c>
      <c r="D277" s="29">
        <f>MAX($D$8:D276)+1</f>
        <v>255</v>
      </c>
      <c r="E277" s="70" t="s">
        <v>316</v>
      </c>
      <c r="F277" s="47">
        <v>5623454949</v>
      </c>
      <c r="G277" s="52">
        <v>3.99</v>
      </c>
      <c r="H277" s="33"/>
      <c r="I277" s="34">
        <v>0.5</v>
      </c>
      <c r="J277" s="34">
        <f t="shared" si="25"/>
        <v>4.49</v>
      </c>
      <c r="K277" s="52">
        <v>3.99</v>
      </c>
      <c r="L277" s="33"/>
      <c r="M277" s="34">
        <v>0.5</v>
      </c>
      <c r="N277" s="34">
        <f t="shared" si="25"/>
        <v>4.49</v>
      </c>
      <c r="O277" s="52">
        <v>3.99</v>
      </c>
      <c r="P277" s="33"/>
      <c r="Q277" s="34">
        <v>0.5</v>
      </c>
      <c r="R277" s="34">
        <f t="shared" si="26"/>
        <v>4.49</v>
      </c>
      <c r="S277" s="35" t="s">
        <v>27</v>
      </c>
      <c r="T277" s="34">
        <f t="shared" si="27"/>
        <v>0.3</v>
      </c>
      <c r="U277" s="35" t="s">
        <v>27</v>
      </c>
      <c r="V277" s="34">
        <f t="shared" si="28"/>
        <v>0.3</v>
      </c>
      <c r="W277" s="35" t="s">
        <v>27</v>
      </c>
      <c r="X277" s="34">
        <f t="shared" si="29"/>
        <v>0.3</v>
      </c>
      <c r="Y277" s="36">
        <f t="shared" si="30"/>
        <v>9455940</v>
      </c>
      <c r="Z277" s="37" t="s">
        <v>692</v>
      </c>
    </row>
    <row r="278" spans="1:26" ht="28.5" x14ac:dyDescent="0.25">
      <c r="A278" s="1" t="s">
        <v>22</v>
      </c>
      <c r="B278" s="15" t="s">
        <v>23</v>
      </c>
      <c r="C278" s="28" t="s">
        <v>307</v>
      </c>
      <c r="D278" s="29">
        <f>MAX($D$8:D277)+1</f>
        <v>256</v>
      </c>
      <c r="E278" s="62" t="s">
        <v>317</v>
      </c>
      <c r="F278" s="47">
        <v>8843373271</v>
      </c>
      <c r="G278" s="52">
        <v>4.2699999999999996</v>
      </c>
      <c r="H278" s="52"/>
      <c r="I278" s="52"/>
      <c r="J278" s="34">
        <f t="shared" si="25"/>
        <v>4.2699999999999996</v>
      </c>
      <c r="K278" s="52">
        <v>4.2699999999999996</v>
      </c>
      <c r="L278" s="52"/>
      <c r="M278" s="52"/>
      <c r="N278" s="34">
        <f t="shared" si="25"/>
        <v>4.2699999999999996</v>
      </c>
      <c r="O278" s="52">
        <v>4.2699999999999996</v>
      </c>
      <c r="P278" s="52"/>
      <c r="Q278" s="52"/>
      <c r="R278" s="34">
        <f t="shared" si="26"/>
        <v>4.2699999999999996</v>
      </c>
      <c r="S278" s="35" t="s">
        <v>27</v>
      </c>
      <c r="T278" s="34">
        <f t="shared" si="27"/>
        <v>0.3</v>
      </c>
      <c r="U278" s="35" t="s">
        <v>27</v>
      </c>
      <c r="V278" s="34">
        <f t="shared" si="28"/>
        <v>0.3</v>
      </c>
      <c r="W278" s="35" t="s">
        <v>27</v>
      </c>
      <c r="X278" s="34">
        <f t="shared" si="29"/>
        <v>0.3</v>
      </c>
      <c r="Y278" s="36">
        <f t="shared" si="30"/>
        <v>8992620</v>
      </c>
      <c r="Z278" s="37" t="s">
        <v>693</v>
      </c>
    </row>
    <row r="279" spans="1:26" ht="28.5" x14ac:dyDescent="0.25">
      <c r="A279" s="1" t="s">
        <v>22</v>
      </c>
      <c r="B279" s="15" t="s">
        <v>23</v>
      </c>
      <c r="C279" s="28" t="s">
        <v>307</v>
      </c>
      <c r="D279" s="29">
        <f>MAX($D$8:D278)+1</f>
        <v>257</v>
      </c>
      <c r="E279" s="62" t="s">
        <v>318</v>
      </c>
      <c r="F279" s="47">
        <v>5623449024</v>
      </c>
      <c r="G279" s="52">
        <v>3</v>
      </c>
      <c r="H279" s="52"/>
      <c r="I279" s="52"/>
      <c r="J279" s="34">
        <f t="shared" si="25"/>
        <v>3</v>
      </c>
      <c r="K279" s="52">
        <v>3</v>
      </c>
      <c r="L279" s="52"/>
      <c r="M279" s="52"/>
      <c r="N279" s="34">
        <f t="shared" si="25"/>
        <v>3</v>
      </c>
      <c r="O279" s="52">
        <v>3</v>
      </c>
      <c r="P279" s="52"/>
      <c r="Q279" s="52"/>
      <c r="R279" s="34">
        <f t="shared" si="26"/>
        <v>3</v>
      </c>
      <c r="S279" s="35" t="s">
        <v>27</v>
      </c>
      <c r="T279" s="34">
        <f t="shared" si="27"/>
        <v>0.3</v>
      </c>
      <c r="U279" s="35" t="s">
        <v>27</v>
      </c>
      <c r="V279" s="34">
        <f t="shared" si="28"/>
        <v>0.3</v>
      </c>
      <c r="W279" s="35" t="s">
        <v>27</v>
      </c>
      <c r="X279" s="34">
        <f t="shared" si="29"/>
        <v>0.3</v>
      </c>
      <c r="Y279" s="36">
        <f t="shared" si="30"/>
        <v>6317999.9999999991</v>
      </c>
      <c r="Z279" s="37" t="s">
        <v>694</v>
      </c>
    </row>
    <row r="280" spans="1:26" ht="28.5" x14ac:dyDescent="0.25">
      <c r="A280" s="1" t="s">
        <v>22</v>
      </c>
      <c r="B280" s="15" t="s">
        <v>23</v>
      </c>
      <c r="C280" s="28" t="s">
        <v>307</v>
      </c>
      <c r="D280" s="29">
        <f>MAX($D$8:D279)+1</f>
        <v>258</v>
      </c>
      <c r="E280" s="62" t="s">
        <v>319</v>
      </c>
      <c r="F280" s="47">
        <v>5623448696</v>
      </c>
      <c r="G280" s="52">
        <v>3.33</v>
      </c>
      <c r="H280" s="52"/>
      <c r="I280" s="52"/>
      <c r="J280" s="34">
        <f t="shared" si="25"/>
        <v>3.33</v>
      </c>
      <c r="K280" s="52">
        <v>3.33</v>
      </c>
      <c r="L280" s="52"/>
      <c r="M280" s="52"/>
      <c r="N280" s="34">
        <f t="shared" si="25"/>
        <v>3.33</v>
      </c>
      <c r="O280" s="52">
        <v>3.33</v>
      </c>
      <c r="P280" s="52"/>
      <c r="Q280" s="52"/>
      <c r="R280" s="34">
        <f t="shared" si="26"/>
        <v>3.33</v>
      </c>
      <c r="S280" s="35" t="s">
        <v>27</v>
      </c>
      <c r="T280" s="34">
        <f t="shared" si="27"/>
        <v>0.3</v>
      </c>
      <c r="U280" s="35" t="s">
        <v>27</v>
      </c>
      <c r="V280" s="34">
        <f t="shared" si="28"/>
        <v>0.3</v>
      </c>
      <c r="W280" s="35" t="s">
        <v>27</v>
      </c>
      <c r="X280" s="34">
        <f t="shared" si="29"/>
        <v>0.3</v>
      </c>
      <c r="Y280" s="36">
        <f t="shared" si="30"/>
        <v>7012980</v>
      </c>
      <c r="Z280" s="37" t="s">
        <v>695</v>
      </c>
    </row>
    <row r="281" spans="1:26" ht="28.5" x14ac:dyDescent="0.25">
      <c r="A281" s="1" t="s">
        <v>22</v>
      </c>
      <c r="B281" s="15" t="s">
        <v>23</v>
      </c>
      <c r="C281" s="28" t="s">
        <v>307</v>
      </c>
      <c r="D281" s="29">
        <f>MAX($D$8:D280)+1</f>
        <v>259</v>
      </c>
      <c r="E281" s="62" t="s">
        <v>320</v>
      </c>
      <c r="F281" s="47">
        <v>8803327133</v>
      </c>
      <c r="G281" s="107">
        <v>4.9800000000000004</v>
      </c>
      <c r="H281" s="107"/>
      <c r="I281" s="107"/>
      <c r="J281" s="34">
        <f t="shared" si="25"/>
        <v>4.9800000000000004</v>
      </c>
      <c r="K281" s="93">
        <v>4.9800000000000004</v>
      </c>
      <c r="L281" s="93"/>
      <c r="M281" s="93"/>
      <c r="N281" s="34">
        <f t="shared" si="25"/>
        <v>4.9800000000000004</v>
      </c>
      <c r="O281" s="93">
        <v>4.9800000000000004</v>
      </c>
      <c r="P281" s="93"/>
      <c r="Q281" s="93"/>
      <c r="R281" s="34">
        <f t="shared" si="26"/>
        <v>4.9800000000000004</v>
      </c>
      <c r="S281" s="35" t="s">
        <v>27</v>
      </c>
      <c r="T281" s="34">
        <f t="shared" si="27"/>
        <v>0.3</v>
      </c>
      <c r="U281" s="35" t="s">
        <v>27</v>
      </c>
      <c r="V281" s="34">
        <f t="shared" si="28"/>
        <v>0.3</v>
      </c>
      <c r="W281" s="35" t="s">
        <v>27</v>
      </c>
      <c r="X281" s="34">
        <f t="shared" si="29"/>
        <v>0.3</v>
      </c>
      <c r="Y281" s="36">
        <f t="shared" si="30"/>
        <v>10487880</v>
      </c>
      <c r="Z281" s="37" t="s">
        <v>696</v>
      </c>
    </row>
    <row r="282" spans="1:26" ht="28.5" x14ac:dyDescent="0.25">
      <c r="A282" s="1" t="s">
        <v>22</v>
      </c>
      <c r="B282" s="15" t="s">
        <v>23</v>
      </c>
      <c r="C282" s="28" t="s">
        <v>307</v>
      </c>
      <c r="D282" s="29">
        <f>MAX($D$8:D281)+1</f>
        <v>260</v>
      </c>
      <c r="E282" s="66" t="s">
        <v>321</v>
      </c>
      <c r="F282" s="47">
        <v>5623455155</v>
      </c>
      <c r="G282" s="97">
        <v>3</v>
      </c>
      <c r="H282" s="97"/>
      <c r="I282" s="97"/>
      <c r="J282" s="34">
        <f t="shared" si="25"/>
        <v>3</v>
      </c>
      <c r="K282" s="97">
        <v>3</v>
      </c>
      <c r="L282" s="97"/>
      <c r="M282" s="97"/>
      <c r="N282" s="34">
        <f t="shared" si="25"/>
        <v>3</v>
      </c>
      <c r="O282" s="97">
        <v>3</v>
      </c>
      <c r="P282" s="97"/>
      <c r="Q282" s="97"/>
      <c r="R282" s="34">
        <f t="shared" si="26"/>
        <v>3</v>
      </c>
      <c r="S282" s="35" t="s">
        <v>27</v>
      </c>
      <c r="T282" s="34">
        <f t="shared" si="27"/>
        <v>0.3</v>
      </c>
      <c r="U282" s="35" t="s">
        <v>27</v>
      </c>
      <c r="V282" s="34">
        <f t="shared" si="28"/>
        <v>0.3</v>
      </c>
      <c r="W282" s="35" t="s">
        <v>27</v>
      </c>
      <c r="X282" s="34">
        <f t="shared" si="29"/>
        <v>0.3</v>
      </c>
      <c r="Y282" s="36">
        <f t="shared" si="30"/>
        <v>6317999.9999999991</v>
      </c>
      <c r="Z282" s="37" t="s">
        <v>697</v>
      </c>
    </row>
    <row r="283" spans="1:26" ht="28.5" x14ac:dyDescent="0.25">
      <c r="A283" s="1" t="s">
        <v>22</v>
      </c>
      <c r="B283" s="15" t="s">
        <v>23</v>
      </c>
      <c r="C283" s="28" t="s">
        <v>307</v>
      </c>
      <c r="D283" s="29">
        <f>MAX($D$8:D282)+1</f>
        <v>261</v>
      </c>
      <c r="E283" s="83" t="s">
        <v>322</v>
      </c>
      <c r="F283" s="47">
        <v>5623454912</v>
      </c>
      <c r="G283" s="67">
        <v>2.06</v>
      </c>
      <c r="H283" s="67"/>
      <c r="I283" s="67"/>
      <c r="J283" s="32">
        <f t="shared" si="25"/>
        <v>2.06</v>
      </c>
      <c r="K283" s="159">
        <v>2.06</v>
      </c>
      <c r="L283" s="159"/>
      <c r="M283" s="159"/>
      <c r="N283" s="32">
        <f t="shared" si="25"/>
        <v>2.06</v>
      </c>
      <c r="O283" s="159">
        <v>2.06</v>
      </c>
      <c r="P283" s="159"/>
      <c r="Q283" s="159"/>
      <c r="R283" s="32">
        <f t="shared" si="26"/>
        <v>2.06</v>
      </c>
      <c r="S283" s="35" t="s">
        <v>27</v>
      </c>
      <c r="T283" s="34">
        <f t="shared" si="27"/>
        <v>0.3</v>
      </c>
      <c r="U283" s="35" t="s">
        <v>27</v>
      </c>
      <c r="V283" s="34">
        <f t="shared" si="28"/>
        <v>0.3</v>
      </c>
      <c r="W283" s="35" t="s">
        <v>27</v>
      </c>
      <c r="X283" s="34">
        <f t="shared" si="29"/>
        <v>0.3</v>
      </c>
      <c r="Y283" s="36">
        <v>4500000</v>
      </c>
      <c r="Z283" s="37" t="s">
        <v>698</v>
      </c>
    </row>
    <row r="284" spans="1:26" ht="28.5" x14ac:dyDescent="0.25">
      <c r="A284" s="1" t="s">
        <v>22</v>
      </c>
      <c r="B284" s="15" t="s">
        <v>23</v>
      </c>
      <c r="C284" s="28" t="s">
        <v>307</v>
      </c>
      <c r="D284" s="29">
        <f>MAX($D$8:D283)+1</f>
        <v>262</v>
      </c>
      <c r="E284" s="62" t="s">
        <v>323</v>
      </c>
      <c r="F284" s="47">
        <v>5622712370</v>
      </c>
      <c r="G284" s="52">
        <v>2.34</v>
      </c>
      <c r="H284" s="52"/>
      <c r="I284" s="52"/>
      <c r="J284" s="34">
        <f t="shared" si="25"/>
        <v>2.34</v>
      </c>
      <c r="K284" s="52">
        <v>2.34</v>
      </c>
      <c r="L284" s="52"/>
      <c r="M284" s="52"/>
      <c r="N284" s="34">
        <f t="shared" si="25"/>
        <v>2.34</v>
      </c>
      <c r="O284" s="52">
        <v>2.34</v>
      </c>
      <c r="P284" s="52"/>
      <c r="Q284" s="52"/>
      <c r="R284" s="34">
        <f t="shared" si="26"/>
        <v>2.34</v>
      </c>
      <c r="S284" s="35" t="s">
        <v>77</v>
      </c>
      <c r="T284" s="34">
        <f t="shared" si="27"/>
        <v>0</v>
      </c>
      <c r="U284" s="35" t="s">
        <v>77</v>
      </c>
      <c r="V284" s="34">
        <f t="shared" si="28"/>
        <v>0</v>
      </c>
      <c r="W284" s="35" t="s">
        <v>77</v>
      </c>
      <c r="X284" s="34">
        <f t="shared" si="29"/>
        <v>0</v>
      </c>
      <c r="Y284" s="36">
        <f t="shared" si="30"/>
        <v>0</v>
      </c>
      <c r="Z284" s="37" t="s">
        <v>699</v>
      </c>
    </row>
    <row r="285" spans="1:26" ht="28.5" x14ac:dyDescent="0.25">
      <c r="A285" s="1" t="s">
        <v>22</v>
      </c>
      <c r="B285" s="15" t="s">
        <v>23</v>
      </c>
      <c r="C285" s="28" t="s">
        <v>307</v>
      </c>
      <c r="D285" s="29">
        <f>MAX($D$8:D284)+1</f>
        <v>263</v>
      </c>
      <c r="E285" s="62" t="s">
        <v>324</v>
      </c>
      <c r="F285" s="47">
        <v>8893369422</v>
      </c>
      <c r="G285" s="97">
        <v>2.34</v>
      </c>
      <c r="H285" s="97"/>
      <c r="I285" s="97"/>
      <c r="J285" s="34">
        <f t="shared" si="25"/>
        <v>2.34</v>
      </c>
      <c r="K285" s="97">
        <v>2.34</v>
      </c>
      <c r="L285" s="97"/>
      <c r="M285" s="97"/>
      <c r="N285" s="34">
        <f t="shared" si="25"/>
        <v>2.34</v>
      </c>
      <c r="O285" s="97">
        <v>2.34</v>
      </c>
      <c r="P285" s="97"/>
      <c r="Q285" s="97"/>
      <c r="R285" s="34">
        <f t="shared" si="26"/>
        <v>2.34</v>
      </c>
      <c r="S285" s="35" t="s">
        <v>38</v>
      </c>
      <c r="T285" s="34">
        <f t="shared" si="27"/>
        <v>0.1</v>
      </c>
      <c r="U285" s="35" t="s">
        <v>38</v>
      </c>
      <c r="V285" s="34">
        <f t="shared" si="28"/>
        <v>0.1</v>
      </c>
      <c r="W285" s="35" t="s">
        <v>38</v>
      </c>
      <c r="X285" s="34">
        <f t="shared" si="29"/>
        <v>0.1</v>
      </c>
      <c r="Y285" s="36">
        <f t="shared" si="30"/>
        <v>1642680</v>
      </c>
      <c r="Z285" s="37" t="s">
        <v>700</v>
      </c>
    </row>
    <row r="286" spans="1:26" ht="28.5" x14ac:dyDescent="0.25">
      <c r="A286" s="1" t="s">
        <v>22</v>
      </c>
      <c r="B286" s="15" t="s">
        <v>23</v>
      </c>
      <c r="C286" s="28" t="s">
        <v>307</v>
      </c>
      <c r="D286" s="29">
        <f>MAX($D$8:D285)+1</f>
        <v>264</v>
      </c>
      <c r="E286" s="76" t="s">
        <v>325</v>
      </c>
      <c r="F286" s="47">
        <v>5623428999</v>
      </c>
      <c r="G286" s="52">
        <v>3.33</v>
      </c>
      <c r="H286" s="52"/>
      <c r="I286" s="52"/>
      <c r="J286" s="34">
        <f t="shared" si="25"/>
        <v>3.33</v>
      </c>
      <c r="K286" s="52">
        <v>3.33</v>
      </c>
      <c r="L286" s="52"/>
      <c r="M286" s="52"/>
      <c r="N286" s="34">
        <f t="shared" si="25"/>
        <v>3.33</v>
      </c>
      <c r="O286" s="52">
        <v>3.33</v>
      </c>
      <c r="P286" s="52"/>
      <c r="Q286" s="52"/>
      <c r="R286" s="34">
        <f t="shared" si="26"/>
        <v>3.33</v>
      </c>
      <c r="S286" s="35" t="s">
        <v>27</v>
      </c>
      <c r="T286" s="34">
        <f t="shared" si="27"/>
        <v>0.3</v>
      </c>
      <c r="U286" s="35" t="s">
        <v>27</v>
      </c>
      <c r="V286" s="34">
        <f t="shared" si="28"/>
        <v>0.3</v>
      </c>
      <c r="W286" s="35" t="s">
        <v>27</v>
      </c>
      <c r="X286" s="34">
        <f t="shared" si="29"/>
        <v>0.3</v>
      </c>
      <c r="Y286" s="36">
        <f t="shared" si="30"/>
        <v>7012980</v>
      </c>
      <c r="Z286" s="37" t="s">
        <v>701</v>
      </c>
    </row>
    <row r="287" spans="1:26" ht="28.5" x14ac:dyDescent="0.25">
      <c r="A287" s="1" t="s">
        <v>22</v>
      </c>
      <c r="B287" s="15" t="s">
        <v>23</v>
      </c>
      <c r="C287" s="28" t="s">
        <v>307</v>
      </c>
      <c r="D287" s="29">
        <f>MAX($D$8:D286)+1</f>
        <v>265</v>
      </c>
      <c r="E287" s="83" t="s">
        <v>326</v>
      </c>
      <c r="F287" s="47">
        <v>5623448766</v>
      </c>
      <c r="G287" s="67">
        <v>3.06</v>
      </c>
      <c r="H287" s="67"/>
      <c r="I287" s="67"/>
      <c r="J287" s="34">
        <f t="shared" si="25"/>
        <v>3.06</v>
      </c>
      <c r="K287" s="67">
        <v>3.06</v>
      </c>
      <c r="L287" s="67"/>
      <c r="M287" s="67"/>
      <c r="N287" s="34">
        <f t="shared" si="25"/>
        <v>3.06</v>
      </c>
      <c r="O287" s="67">
        <v>3.06</v>
      </c>
      <c r="P287" s="67"/>
      <c r="Q287" s="67"/>
      <c r="R287" s="34">
        <f t="shared" si="26"/>
        <v>3.06</v>
      </c>
      <c r="S287" s="35" t="s">
        <v>27</v>
      </c>
      <c r="T287" s="34">
        <f t="shared" si="27"/>
        <v>0.3</v>
      </c>
      <c r="U287" s="35" t="s">
        <v>27</v>
      </c>
      <c r="V287" s="34">
        <f t="shared" si="28"/>
        <v>0.3</v>
      </c>
      <c r="W287" s="35" t="s">
        <v>27</v>
      </c>
      <c r="X287" s="34">
        <f t="shared" si="29"/>
        <v>0.3</v>
      </c>
      <c r="Y287" s="36">
        <f t="shared" si="30"/>
        <v>6444359.9999999991</v>
      </c>
      <c r="Z287" s="37" t="s">
        <v>702</v>
      </c>
    </row>
    <row r="288" spans="1:26" ht="28.5" x14ac:dyDescent="0.25">
      <c r="A288" s="1" t="s">
        <v>22</v>
      </c>
      <c r="B288" s="15" t="s">
        <v>23</v>
      </c>
      <c r="C288" s="28" t="s">
        <v>307</v>
      </c>
      <c r="D288" s="29">
        <f>MAX($D$8:D287)+1</f>
        <v>266</v>
      </c>
      <c r="E288" s="64" t="s">
        <v>327</v>
      </c>
      <c r="F288" s="54">
        <v>5601640508</v>
      </c>
      <c r="G288" s="32">
        <v>2.67</v>
      </c>
      <c r="H288" s="32"/>
      <c r="I288" s="32"/>
      <c r="J288" s="34">
        <f t="shared" si="25"/>
        <v>2.67</v>
      </c>
      <c r="K288" s="32">
        <v>2.67</v>
      </c>
      <c r="L288" s="32"/>
      <c r="M288" s="32"/>
      <c r="N288" s="34">
        <f t="shared" si="25"/>
        <v>2.67</v>
      </c>
      <c r="O288" s="32">
        <v>2.67</v>
      </c>
      <c r="P288" s="32"/>
      <c r="Q288" s="32"/>
      <c r="R288" s="34">
        <f t="shared" si="26"/>
        <v>2.67</v>
      </c>
      <c r="S288" s="35" t="s">
        <v>27</v>
      </c>
      <c r="T288" s="34">
        <f t="shared" si="27"/>
        <v>0.3</v>
      </c>
      <c r="U288" s="35" t="s">
        <v>27</v>
      </c>
      <c r="V288" s="34">
        <f t="shared" si="28"/>
        <v>0.3</v>
      </c>
      <c r="W288" s="35" t="s">
        <v>27</v>
      </c>
      <c r="X288" s="34">
        <f t="shared" si="29"/>
        <v>0.3</v>
      </c>
      <c r="Y288" s="36">
        <f t="shared" si="30"/>
        <v>5623019.9999999991</v>
      </c>
      <c r="Z288" s="37" t="s">
        <v>703</v>
      </c>
    </row>
    <row r="289" spans="1:26" ht="28.5" x14ac:dyDescent="0.25">
      <c r="A289" s="1" t="s">
        <v>22</v>
      </c>
      <c r="B289" s="15" t="s">
        <v>23</v>
      </c>
      <c r="C289" s="28" t="s">
        <v>307</v>
      </c>
      <c r="D289" s="29">
        <f>MAX($D$8:D288)+1</f>
        <v>267</v>
      </c>
      <c r="E289" s="64" t="s">
        <v>328</v>
      </c>
      <c r="F289" s="54">
        <v>5602105921</v>
      </c>
      <c r="G289" s="32">
        <v>2.34</v>
      </c>
      <c r="H289" s="32"/>
      <c r="I289" s="32"/>
      <c r="J289" s="34">
        <f t="shared" si="25"/>
        <v>2.34</v>
      </c>
      <c r="K289" s="32">
        <v>2.34</v>
      </c>
      <c r="L289" s="32"/>
      <c r="M289" s="32"/>
      <c r="N289" s="34">
        <f t="shared" si="25"/>
        <v>2.34</v>
      </c>
      <c r="O289" s="32">
        <v>2.34</v>
      </c>
      <c r="P289" s="32"/>
      <c r="Q289" s="32"/>
      <c r="R289" s="34">
        <f t="shared" si="26"/>
        <v>2.34</v>
      </c>
      <c r="S289" s="35" t="s">
        <v>27</v>
      </c>
      <c r="T289" s="34">
        <f t="shared" si="27"/>
        <v>0.3</v>
      </c>
      <c r="U289" s="35" t="s">
        <v>27</v>
      </c>
      <c r="V289" s="34">
        <f t="shared" si="28"/>
        <v>0.3</v>
      </c>
      <c r="W289" s="35" t="s">
        <v>27</v>
      </c>
      <c r="X289" s="34">
        <f t="shared" si="29"/>
        <v>0.3</v>
      </c>
      <c r="Y289" s="36">
        <f t="shared" si="30"/>
        <v>4928040</v>
      </c>
      <c r="Z289" s="37" t="s">
        <v>704</v>
      </c>
    </row>
    <row r="290" spans="1:26" ht="28.5" x14ac:dyDescent="0.25">
      <c r="A290" s="1" t="s">
        <v>22</v>
      </c>
      <c r="B290" s="15" t="s">
        <v>23</v>
      </c>
      <c r="C290" s="28" t="s">
        <v>307</v>
      </c>
      <c r="D290" s="29">
        <f>MAX($D$8:D289)+1</f>
        <v>268</v>
      </c>
      <c r="E290" s="64" t="s">
        <v>329</v>
      </c>
      <c r="F290" s="31">
        <v>5611150192</v>
      </c>
      <c r="G290" s="32">
        <v>3.99</v>
      </c>
      <c r="H290" s="32"/>
      <c r="I290" s="32"/>
      <c r="J290" s="34">
        <f t="shared" si="25"/>
        <v>3.99</v>
      </c>
      <c r="K290" s="32">
        <v>3.99</v>
      </c>
      <c r="L290" s="32"/>
      <c r="M290" s="32"/>
      <c r="N290" s="34">
        <f t="shared" si="25"/>
        <v>3.99</v>
      </c>
      <c r="O290" s="32">
        <v>3.99</v>
      </c>
      <c r="P290" s="32"/>
      <c r="Q290" s="32"/>
      <c r="R290" s="34">
        <f t="shared" si="26"/>
        <v>3.99</v>
      </c>
      <c r="S290" s="35" t="s">
        <v>27</v>
      </c>
      <c r="T290" s="34">
        <f t="shared" si="27"/>
        <v>0.3</v>
      </c>
      <c r="U290" s="35" t="s">
        <v>27</v>
      </c>
      <c r="V290" s="34">
        <f t="shared" si="28"/>
        <v>0.3</v>
      </c>
      <c r="W290" s="35" t="s">
        <v>27</v>
      </c>
      <c r="X290" s="34">
        <f t="shared" si="29"/>
        <v>0.3</v>
      </c>
      <c r="Y290" s="36">
        <f t="shared" si="30"/>
        <v>8402940</v>
      </c>
      <c r="Z290" s="37" t="s">
        <v>705</v>
      </c>
    </row>
    <row r="291" spans="1:26" ht="28.5" x14ac:dyDescent="0.25">
      <c r="A291" s="1" t="s">
        <v>22</v>
      </c>
      <c r="B291" s="15" t="s">
        <v>23</v>
      </c>
      <c r="C291" s="28" t="s">
        <v>307</v>
      </c>
      <c r="D291" s="29">
        <f>MAX($D$8:D290)+1</f>
        <v>269</v>
      </c>
      <c r="E291" s="64" t="s">
        <v>330</v>
      </c>
      <c r="F291" s="31">
        <v>5611150226</v>
      </c>
      <c r="G291" s="32">
        <v>3.66</v>
      </c>
      <c r="H291" s="32"/>
      <c r="I291" s="32"/>
      <c r="J291" s="34">
        <f t="shared" si="25"/>
        <v>3.66</v>
      </c>
      <c r="K291" s="32">
        <v>3.66</v>
      </c>
      <c r="L291" s="32"/>
      <c r="M291" s="32"/>
      <c r="N291" s="34">
        <f t="shared" si="25"/>
        <v>3.66</v>
      </c>
      <c r="O291" s="32">
        <v>3.66</v>
      </c>
      <c r="P291" s="32"/>
      <c r="Q291" s="32"/>
      <c r="R291" s="34">
        <f t="shared" si="26"/>
        <v>3.66</v>
      </c>
      <c r="S291" s="35" t="s">
        <v>27</v>
      </c>
      <c r="T291" s="34">
        <f t="shared" si="27"/>
        <v>0.3</v>
      </c>
      <c r="U291" s="35" t="s">
        <v>27</v>
      </c>
      <c r="V291" s="34">
        <f t="shared" si="28"/>
        <v>0.3</v>
      </c>
      <c r="W291" s="35" t="s">
        <v>27</v>
      </c>
      <c r="X291" s="34">
        <f t="shared" si="29"/>
        <v>0.3</v>
      </c>
      <c r="Y291" s="36">
        <f t="shared" si="30"/>
        <v>7707960.0000000009</v>
      </c>
      <c r="Z291" s="37" t="s">
        <v>706</v>
      </c>
    </row>
    <row r="292" spans="1:26" ht="28.5" x14ac:dyDescent="0.25">
      <c r="A292" s="1" t="s">
        <v>22</v>
      </c>
      <c r="B292" s="15" t="s">
        <v>23</v>
      </c>
      <c r="C292" s="28" t="s">
        <v>307</v>
      </c>
      <c r="D292" s="29">
        <f>MAX($D$8:D291)+1</f>
        <v>270</v>
      </c>
      <c r="E292" s="30" t="s">
        <v>331</v>
      </c>
      <c r="F292" s="31">
        <v>5611150217</v>
      </c>
      <c r="G292" s="32">
        <v>3.65</v>
      </c>
      <c r="H292" s="32"/>
      <c r="I292" s="32"/>
      <c r="J292" s="34">
        <f t="shared" si="25"/>
        <v>3.65</v>
      </c>
      <c r="K292" s="32">
        <v>3.65</v>
      </c>
      <c r="L292" s="32"/>
      <c r="M292" s="32"/>
      <c r="N292" s="34">
        <f t="shared" si="25"/>
        <v>3.65</v>
      </c>
      <c r="O292" s="32">
        <v>3.65</v>
      </c>
      <c r="P292" s="32"/>
      <c r="Q292" s="32"/>
      <c r="R292" s="34">
        <f t="shared" si="26"/>
        <v>3.65</v>
      </c>
      <c r="S292" s="35" t="s">
        <v>27</v>
      </c>
      <c r="T292" s="34">
        <f t="shared" si="27"/>
        <v>0.3</v>
      </c>
      <c r="U292" s="35" t="s">
        <v>27</v>
      </c>
      <c r="V292" s="34">
        <f t="shared" si="28"/>
        <v>0.3</v>
      </c>
      <c r="W292" s="35" t="s">
        <v>27</v>
      </c>
      <c r="X292" s="34">
        <f t="shared" si="29"/>
        <v>0.3</v>
      </c>
      <c r="Y292" s="36">
        <f t="shared" si="30"/>
        <v>7686900</v>
      </c>
      <c r="Z292" s="37" t="s">
        <v>707</v>
      </c>
    </row>
    <row r="293" spans="1:26" ht="28.5" x14ac:dyDescent="0.25">
      <c r="A293" s="1" t="s">
        <v>22</v>
      </c>
      <c r="B293" s="15" t="s">
        <v>23</v>
      </c>
      <c r="C293" s="28" t="s">
        <v>307</v>
      </c>
      <c r="D293" s="29">
        <f>MAX($D$8:D292)+1</f>
        <v>271</v>
      </c>
      <c r="E293" s="64" t="s">
        <v>332</v>
      </c>
      <c r="F293" s="31">
        <v>5611150040</v>
      </c>
      <c r="G293" s="32">
        <v>3.66</v>
      </c>
      <c r="H293" s="32"/>
      <c r="I293" s="32"/>
      <c r="J293" s="34">
        <f t="shared" si="25"/>
        <v>3.66</v>
      </c>
      <c r="K293" s="32">
        <v>3.66</v>
      </c>
      <c r="L293" s="32"/>
      <c r="M293" s="32"/>
      <c r="N293" s="34">
        <f t="shared" si="25"/>
        <v>3.66</v>
      </c>
      <c r="O293" s="32">
        <v>3.66</v>
      </c>
      <c r="P293" s="32"/>
      <c r="Q293" s="32"/>
      <c r="R293" s="34">
        <f t="shared" si="26"/>
        <v>3.66</v>
      </c>
      <c r="S293" s="35" t="s">
        <v>27</v>
      </c>
      <c r="T293" s="34">
        <f t="shared" si="27"/>
        <v>0.3</v>
      </c>
      <c r="U293" s="35" t="s">
        <v>27</v>
      </c>
      <c r="V293" s="34">
        <f t="shared" si="28"/>
        <v>0.3</v>
      </c>
      <c r="W293" s="35" t="s">
        <v>27</v>
      </c>
      <c r="X293" s="34">
        <f t="shared" si="29"/>
        <v>0.3</v>
      </c>
      <c r="Y293" s="36">
        <f t="shared" si="30"/>
        <v>7707960.0000000009</v>
      </c>
      <c r="Z293" s="37" t="s">
        <v>708</v>
      </c>
    </row>
    <row r="294" spans="1:26" ht="28.5" x14ac:dyDescent="0.25">
      <c r="A294" s="1" t="s">
        <v>22</v>
      </c>
      <c r="B294" s="15" t="s">
        <v>23</v>
      </c>
      <c r="C294" s="28" t="s">
        <v>307</v>
      </c>
      <c r="D294" s="29">
        <f>MAX($D$8:D293)+1</f>
        <v>272</v>
      </c>
      <c r="E294" s="64" t="s">
        <v>333</v>
      </c>
      <c r="F294" s="31">
        <v>5611149950</v>
      </c>
      <c r="G294" s="32">
        <v>3.66</v>
      </c>
      <c r="H294" s="32"/>
      <c r="I294" s="32"/>
      <c r="J294" s="34">
        <f t="shared" si="25"/>
        <v>3.66</v>
      </c>
      <c r="K294" s="32">
        <v>3.66</v>
      </c>
      <c r="L294" s="32"/>
      <c r="M294" s="32"/>
      <c r="N294" s="34">
        <f t="shared" si="25"/>
        <v>3.66</v>
      </c>
      <c r="O294" s="32">
        <v>3.66</v>
      </c>
      <c r="P294" s="32"/>
      <c r="Q294" s="32"/>
      <c r="R294" s="34">
        <f t="shared" si="26"/>
        <v>3.66</v>
      </c>
      <c r="S294" s="35" t="s">
        <v>27</v>
      </c>
      <c r="T294" s="34">
        <f t="shared" si="27"/>
        <v>0.3</v>
      </c>
      <c r="U294" s="35" t="s">
        <v>27</v>
      </c>
      <c r="V294" s="34">
        <f t="shared" si="28"/>
        <v>0.3</v>
      </c>
      <c r="W294" s="35" t="s">
        <v>27</v>
      </c>
      <c r="X294" s="34">
        <f t="shared" si="29"/>
        <v>0.3</v>
      </c>
      <c r="Y294" s="36">
        <f t="shared" si="30"/>
        <v>7707960.0000000009</v>
      </c>
      <c r="Z294" s="37" t="s">
        <v>709</v>
      </c>
    </row>
    <row r="295" spans="1:26" ht="28.5" x14ac:dyDescent="0.25">
      <c r="A295" s="1" t="s">
        <v>22</v>
      </c>
      <c r="B295" s="15" t="s">
        <v>23</v>
      </c>
      <c r="C295" s="28" t="s">
        <v>307</v>
      </c>
      <c r="D295" s="29">
        <f>MAX($D$8:D294)+1</f>
        <v>273</v>
      </c>
      <c r="E295" s="64" t="s">
        <v>334</v>
      </c>
      <c r="F295" s="31">
        <v>5611150332</v>
      </c>
      <c r="G295" s="32">
        <v>3.65</v>
      </c>
      <c r="H295" s="32"/>
      <c r="I295" s="32"/>
      <c r="J295" s="34">
        <f t="shared" si="25"/>
        <v>3.65</v>
      </c>
      <c r="K295" s="32">
        <v>3.65</v>
      </c>
      <c r="L295" s="32"/>
      <c r="M295" s="32"/>
      <c r="N295" s="34">
        <f t="shared" si="25"/>
        <v>3.65</v>
      </c>
      <c r="O295" s="32">
        <v>3.65</v>
      </c>
      <c r="P295" s="32"/>
      <c r="Q295" s="32"/>
      <c r="R295" s="34">
        <f t="shared" si="26"/>
        <v>3.65</v>
      </c>
      <c r="S295" s="35" t="s">
        <v>27</v>
      </c>
      <c r="T295" s="34">
        <f t="shared" si="27"/>
        <v>0.3</v>
      </c>
      <c r="U295" s="35" t="s">
        <v>27</v>
      </c>
      <c r="V295" s="34">
        <f t="shared" si="28"/>
        <v>0.3</v>
      </c>
      <c r="W295" s="35" t="s">
        <v>27</v>
      </c>
      <c r="X295" s="34">
        <f t="shared" si="29"/>
        <v>0.3</v>
      </c>
      <c r="Y295" s="36">
        <f t="shared" si="30"/>
        <v>7686900</v>
      </c>
      <c r="Z295" s="37" t="s">
        <v>710</v>
      </c>
    </row>
    <row r="296" spans="1:26" ht="28.5" x14ac:dyDescent="0.25">
      <c r="A296" s="1" t="s">
        <v>22</v>
      </c>
      <c r="B296" s="15" t="s">
        <v>23</v>
      </c>
      <c r="C296" s="28" t="s">
        <v>307</v>
      </c>
      <c r="D296" s="29">
        <f>MAX($D$8:D295)+1</f>
        <v>274</v>
      </c>
      <c r="E296" s="64" t="s">
        <v>335</v>
      </c>
      <c r="F296" s="31">
        <v>5611149996</v>
      </c>
      <c r="G296" s="32">
        <v>3.66</v>
      </c>
      <c r="H296" s="32"/>
      <c r="I296" s="32"/>
      <c r="J296" s="34">
        <f t="shared" si="25"/>
        <v>3.66</v>
      </c>
      <c r="K296" s="32">
        <v>3.66</v>
      </c>
      <c r="L296" s="32"/>
      <c r="M296" s="32"/>
      <c r="N296" s="34">
        <f t="shared" si="25"/>
        <v>3.66</v>
      </c>
      <c r="O296" s="32">
        <v>3.66</v>
      </c>
      <c r="P296" s="32"/>
      <c r="Q296" s="32"/>
      <c r="R296" s="34">
        <f t="shared" si="26"/>
        <v>3.66</v>
      </c>
      <c r="S296" s="35" t="s">
        <v>27</v>
      </c>
      <c r="T296" s="34">
        <f t="shared" si="27"/>
        <v>0.3</v>
      </c>
      <c r="U296" s="35" t="s">
        <v>27</v>
      </c>
      <c r="V296" s="34">
        <f t="shared" si="28"/>
        <v>0.3</v>
      </c>
      <c r="W296" s="35" t="s">
        <v>27</v>
      </c>
      <c r="X296" s="34">
        <f t="shared" si="29"/>
        <v>0.3</v>
      </c>
      <c r="Y296" s="36">
        <f t="shared" si="30"/>
        <v>7707960.0000000009</v>
      </c>
      <c r="Z296" s="37" t="s">
        <v>711</v>
      </c>
    </row>
    <row r="297" spans="1:26" ht="28.5" x14ac:dyDescent="0.25">
      <c r="A297" s="1" t="s">
        <v>22</v>
      </c>
      <c r="B297" s="15" t="s">
        <v>23</v>
      </c>
      <c r="C297" s="28" t="s">
        <v>307</v>
      </c>
      <c r="D297" s="29">
        <f>MAX($D$8:D296)+1</f>
        <v>275</v>
      </c>
      <c r="E297" s="64" t="s">
        <v>336</v>
      </c>
      <c r="F297" s="31">
        <v>5611150086</v>
      </c>
      <c r="G297" s="32">
        <v>3.66</v>
      </c>
      <c r="H297" s="32"/>
      <c r="I297" s="32"/>
      <c r="J297" s="34">
        <f t="shared" si="25"/>
        <v>3.66</v>
      </c>
      <c r="K297" s="32">
        <v>3.66</v>
      </c>
      <c r="L297" s="32"/>
      <c r="M297" s="32"/>
      <c r="N297" s="34">
        <f t="shared" si="25"/>
        <v>3.66</v>
      </c>
      <c r="O297" s="32">
        <v>3.66</v>
      </c>
      <c r="P297" s="32"/>
      <c r="Q297" s="32"/>
      <c r="R297" s="34">
        <f t="shared" si="26"/>
        <v>3.66</v>
      </c>
      <c r="S297" s="35" t="s">
        <v>27</v>
      </c>
      <c r="T297" s="34">
        <f t="shared" si="27"/>
        <v>0.3</v>
      </c>
      <c r="U297" s="35" t="s">
        <v>27</v>
      </c>
      <c r="V297" s="34">
        <f t="shared" si="28"/>
        <v>0.3</v>
      </c>
      <c r="W297" s="35" t="s">
        <v>27</v>
      </c>
      <c r="X297" s="34">
        <f t="shared" si="29"/>
        <v>0.3</v>
      </c>
      <c r="Y297" s="36">
        <f t="shared" si="30"/>
        <v>7707960.0000000009</v>
      </c>
      <c r="Z297" s="37" t="s">
        <v>712</v>
      </c>
    </row>
    <row r="298" spans="1:26" ht="28.5" x14ac:dyDescent="0.25">
      <c r="A298" s="1" t="s">
        <v>22</v>
      </c>
      <c r="B298" s="15" t="s">
        <v>23</v>
      </c>
      <c r="C298" s="28" t="s">
        <v>307</v>
      </c>
      <c r="D298" s="29">
        <f>MAX($D$8:D297)+1</f>
        <v>276</v>
      </c>
      <c r="E298" s="64" t="s">
        <v>337</v>
      </c>
      <c r="F298" s="31">
        <v>5611149987</v>
      </c>
      <c r="G298" s="32">
        <v>3.34</v>
      </c>
      <c r="H298" s="32"/>
      <c r="I298" s="32"/>
      <c r="J298" s="34">
        <f t="shared" si="25"/>
        <v>3.34</v>
      </c>
      <c r="K298" s="32">
        <v>3.34</v>
      </c>
      <c r="L298" s="32"/>
      <c r="M298" s="32"/>
      <c r="N298" s="34">
        <f t="shared" si="25"/>
        <v>3.34</v>
      </c>
      <c r="O298" s="32">
        <v>3.34</v>
      </c>
      <c r="P298" s="32"/>
      <c r="Q298" s="32"/>
      <c r="R298" s="34">
        <f t="shared" si="26"/>
        <v>3.34</v>
      </c>
      <c r="S298" s="35" t="s">
        <v>27</v>
      </c>
      <c r="T298" s="34">
        <f t="shared" si="27"/>
        <v>0.3</v>
      </c>
      <c r="U298" s="35" t="s">
        <v>27</v>
      </c>
      <c r="V298" s="34">
        <f t="shared" si="28"/>
        <v>0.3</v>
      </c>
      <c r="W298" s="35" t="s">
        <v>27</v>
      </c>
      <c r="X298" s="34">
        <f t="shared" si="29"/>
        <v>0.3</v>
      </c>
      <c r="Y298" s="36">
        <f t="shared" si="30"/>
        <v>7034040.0000000009</v>
      </c>
      <c r="Z298" s="37" t="s">
        <v>713</v>
      </c>
    </row>
    <row r="299" spans="1:26" ht="28.5" x14ac:dyDescent="0.25">
      <c r="A299" s="1" t="s">
        <v>22</v>
      </c>
      <c r="B299" s="15" t="s">
        <v>23</v>
      </c>
      <c r="C299" s="28" t="s">
        <v>307</v>
      </c>
      <c r="D299" s="29">
        <f>MAX($D$8:D298)+1</f>
        <v>277</v>
      </c>
      <c r="E299" s="64" t="s">
        <v>338</v>
      </c>
      <c r="F299" s="31">
        <v>5611150059</v>
      </c>
      <c r="G299" s="32">
        <v>3.03</v>
      </c>
      <c r="H299" s="32"/>
      <c r="I299" s="32"/>
      <c r="J299" s="34">
        <f t="shared" si="25"/>
        <v>3.03</v>
      </c>
      <c r="K299" s="32">
        <v>3.03</v>
      </c>
      <c r="L299" s="32"/>
      <c r="M299" s="32"/>
      <c r="N299" s="34">
        <f t="shared" si="25"/>
        <v>3.03</v>
      </c>
      <c r="O299" s="32">
        <v>3.03</v>
      </c>
      <c r="P299" s="32"/>
      <c r="Q299" s="32"/>
      <c r="R299" s="34">
        <f t="shared" si="26"/>
        <v>3.03</v>
      </c>
      <c r="S299" s="35" t="s">
        <v>27</v>
      </c>
      <c r="T299" s="34">
        <f t="shared" si="27"/>
        <v>0.3</v>
      </c>
      <c r="U299" s="35" t="s">
        <v>27</v>
      </c>
      <c r="V299" s="34">
        <f t="shared" si="28"/>
        <v>0.3</v>
      </c>
      <c r="W299" s="35" t="s">
        <v>27</v>
      </c>
      <c r="X299" s="34">
        <f t="shared" si="29"/>
        <v>0.3</v>
      </c>
      <c r="Y299" s="36">
        <f t="shared" si="30"/>
        <v>6381180</v>
      </c>
      <c r="Z299" s="37" t="s">
        <v>714</v>
      </c>
    </row>
    <row r="300" spans="1:26" ht="28.5" x14ac:dyDescent="0.25">
      <c r="A300" s="1" t="s">
        <v>22</v>
      </c>
      <c r="B300" s="15" t="s">
        <v>23</v>
      </c>
      <c r="C300" s="28" t="s">
        <v>307</v>
      </c>
      <c r="D300" s="29">
        <f>MAX($D$8:D299)+1</f>
        <v>278</v>
      </c>
      <c r="E300" s="64" t="s">
        <v>339</v>
      </c>
      <c r="F300" s="31">
        <v>5611150262</v>
      </c>
      <c r="G300" s="32">
        <v>3.03</v>
      </c>
      <c r="H300" s="32"/>
      <c r="I300" s="32"/>
      <c r="J300" s="34">
        <f t="shared" si="25"/>
        <v>3.03</v>
      </c>
      <c r="K300" s="32">
        <v>3.03</v>
      </c>
      <c r="L300" s="32"/>
      <c r="M300" s="32"/>
      <c r="N300" s="34">
        <f t="shared" si="25"/>
        <v>3.03</v>
      </c>
      <c r="O300" s="32">
        <v>3.03</v>
      </c>
      <c r="P300" s="32"/>
      <c r="Q300" s="32"/>
      <c r="R300" s="34">
        <f t="shared" si="26"/>
        <v>3.03</v>
      </c>
      <c r="S300" s="35" t="s">
        <v>27</v>
      </c>
      <c r="T300" s="34">
        <f t="shared" si="27"/>
        <v>0.3</v>
      </c>
      <c r="U300" s="35" t="s">
        <v>27</v>
      </c>
      <c r="V300" s="34">
        <f t="shared" si="28"/>
        <v>0.3</v>
      </c>
      <c r="W300" s="35" t="s">
        <v>27</v>
      </c>
      <c r="X300" s="34">
        <f t="shared" si="29"/>
        <v>0.3</v>
      </c>
      <c r="Y300" s="36">
        <f t="shared" si="30"/>
        <v>6381180</v>
      </c>
      <c r="Z300" s="37" t="s">
        <v>715</v>
      </c>
    </row>
    <row r="301" spans="1:26" ht="28.5" x14ac:dyDescent="0.25">
      <c r="A301" s="1" t="s">
        <v>22</v>
      </c>
      <c r="B301" s="15" t="s">
        <v>23</v>
      </c>
      <c r="C301" s="28" t="s">
        <v>307</v>
      </c>
      <c r="D301" s="29">
        <f>MAX($D$8:D300)+1</f>
        <v>279</v>
      </c>
      <c r="E301" s="64" t="s">
        <v>340</v>
      </c>
      <c r="F301" s="31">
        <v>5610226726</v>
      </c>
      <c r="G301" s="32">
        <v>4.0599999999999996</v>
      </c>
      <c r="H301" s="32"/>
      <c r="I301" s="32"/>
      <c r="J301" s="34">
        <f t="shared" si="25"/>
        <v>4.0599999999999996</v>
      </c>
      <c r="K301" s="32">
        <v>4.0599999999999996</v>
      </c>
      <c r="L301" s="32"/>
      <c r="M301" s="32"/>
      <c r="N301" s="34">
        <f t="shared" si="25"/>
        <v>4.0599999999999996</v>
      </c>
      <c r="O301" s="32">
        <v>4.0599999999999996</v>
      </c>
      <c r="P301" s="32"/>
      <c r="Q301" s="32"/>
      <c r="R301" s="34">
        <f t="shared" si="26"/>
        <v>4.0599999999999996</v>
      </c>
      <c r="S301" s="35" t="s">
        <v>27</v>
      </c>
      <c r="T301" s="34">
        <f t="shared" si="27"/>
        <v>0.3</v>
      </c>
      <c r="U301" s="35" t="s">
        <v>27</v>
      </c>
      <c r="V301" s="34">
        <f t="shared" si="28"/>
        <v>0.3</v>
      </c>
      <c r="W301" s="35" t="s">
        <v>27</v>
      </c>
      <c r="X301" s="34">
        <f t="shared" si="29"/>
        <v>0.3</v>
      </c>
      <c r="Y301" s="36">
        <f t="shared" si="30"/>
        <v>8550359.9999999981</v>
      </c>
      <c r="Z301" s="37" t="s">
        <v>716</v>
      </c>
    </row>
    <row r="302" spans="1:26" ht="28.5" x14ac:dyDescent="0.25">
      <c r="A302" s="1" t="s">
        <v>22</v>
      </c>
      <c r="B302" s="15" t="s">
        <v>23</v>
      </c>
      <c r="C302" s="28" t="s">
        <v>307</v>
      </c>
      <c r="D302" s="29">
        <f>MAX($D$8:D301)+1</f>
        <v>280</v>
      </c>
      <c r="E302" s="64" t="s">
        <v>341</v>
      </c>
      <c r="F302" s="31">
        <v>5611051994</v>
      </c>
      <c r="G302" s="32">
        <v>3.33</v>
      </c>
      <c r="H302" s="32"/>
      <c r="I302" s="32"/>
      <c r="J302" s="34">
        <f t="shared" si="25"/>
        <v>3.33</v>
      </c>
      <c r="K302" s="32">
        <v>3.33</v>
      </c>
      <c r="L302" s="32"/>
      <c r="M302" s="32"/>
      <c r="N302" s="34">
        <f t="shared" si="25"/>
        <v>3.33</v>
      </c>
      <c r="O302" s="32">
        <v>3.33</v>
      </c>
      <c r="P302" s="32"/>
      <c r="Q302" s="32"/>
      <c r="R302" s="34">
        <f t="shared" si="26"/>
        <v>3.33</v>
      </c>
      <c r="S302" s="35" t="s">
        <v>27</v>
      </c>
      <c r="T302" s="34">
        <f t="shared" si="27"/>
        <v>0.3</v>
      </c>
      <c r="U302" s="35" t="s">
        <v>27</v>
      </c>
      <c r="V302" s="34">
        <f t="shared" si="28"/>
        <v>0.3</v>
      </c>
      <c r="W302" s="35" t="s">
        <v>27</v>
      </c>
      <c r="X302" s="34">
        <f t="shared" si="29"/>
        <v>0.3</v>
      </c>
      <c r="Y302" s="36">
        <f t="shared" si="30"/>
        <v>7012980</v>
      </c>
      <c r="Z302" s="37" t="s">
        <v>717</v>
      </c>
    </row>
    <row r="303" spans="1:26" ht="28.5" x14ac:dyDescent="0.25">
      <c r="A303" s="1" t="s">
        <v>22</v>
      </c>
      <c r="B303" s="15" t="s">
        <v>23</v>
      </c>
      <c r="C303" s="28" t="s">
        <v>307</v>
      </c>
      <c r="D303" s="29">
        <f>MAX($D$8:D302)+1</f>
        <v>281</v>
      </c>
      <c r="E303" s="30" t="s">
        <v>342</v>
      </c>
      <c r="F303" s="31">
        <v>5610475704</v>
      </c>
      <c r="G303" s="32">
        <v>3.34</v>
      </c>
      <c r="H303" s="32"/>
      <c r="I303" s="32"/>
      <c r="J303" s="34">
        <f t="shared" si="25"/>
        <v>3.34</v>
      </c>
      <c r="K303" s="61">
        <v>3.65</v>
      </c>
      <c r="L303" s="61"/>
      <c r="M303" s="61"/>
      <c r="N303" s="34">
        <f t="shared" si="25"/>
        <v>3.65</v>
      </c>
      <c r="O303" s="32">
        <v>3.65</v>
      </c>
      <c r="P303" s="32"/>
      <c r="Q303" s="32"/>
      <c r="R303" s="34">
        <f t="shared" si="26"/>
        <v>3.65</v>
      </c>
      <c r="S303" s="35" t="s">
        <v>27</v>
      </c>
      <c r="T303" s="34">
        <f t="shared" si="27"/>
        <v>0.3</v>
      </c>
      <c r="U303" s="35" t="s">
        <v>27</v>
      </c>
      <c r="V303" s="34">
        <f t="shared" si="28"/>
        <v>0.3</v>
      </c>
      <c r="W303" s="35" t="s">
        <v>27</v>
      </c>
      <c r="X303" s="34">
        <f t="shared" si="29"/>
        <v>0.3</v>
      </c>
      <c r="Y303" s="36">
        <f t="shared" si="30"/>
        <v>7469280</v>
      </c>
      <c r="Z303" s="37" t="s">
        <v>718</v>
      </c>
    </row>
    <row r="304" spans="1:26" ht="28.5" x14ac:dyDescent="0.25">
      <c r="A304" s="1" t="s">
        <v>22</v>
      </c>
      <c r="B304" s="15" t="s">
        <v>23</v>
      </c>
      <c r="C304" s="28" t="s">
        <v>307</v>
      </c>
      <c r="D304" s="29">
        <f>MAX($D$8:D303)+1</f>
        <v>282</v>
      </c>
      <c r="E304" s="30" t="s">
        <v>343</v>
      </c>
      <c r="F304" s="31">
        <v>5611040220</v>
      </c>
      <c r="G304" s="32">
        <v>3.03</v>
      </c>
      <c r="H304" s="32"/>
      <c r="I304" s="32"/>
      <c r="J304" s="34">
        <f t="shared" si="25"/>
        <v>3.03</v>
      </c>
      <c r="K304" s="32">
        <v>3.03</v>
      </c>
      <c r="L304" s="32"/>
      <c r="M304" s="32"/>
      <c r="N304" s="34">
        <f t="shared" si="25"/>
        <v>3.03</v>
      </c>
      <c r="O304" s="32">
        <v>3.03</v>
      </c>
      <c r="P304" s="32"/>
      <c r="Q304" s="32"/>
      <c r="R304" s="34">
        <f t="shared" si="26"/>
        <v>3.03</v>
      </c>
      <c r="S304" s="35" t="s">
        <v>27</v>
      </c>
      <c r="T304" s="34">
        <f t="shared" si="27"/>
        <v>0.3</v>
      </c>
      <c r="U304" s="35" t="s">
        <v>27</v>
      </c>
      <c r="V304" s="34">
        <f t="shared" si="28"/>
        <v>0.3</v>
      </c>
      <c r="W304" s="35" t="s">
        <v>27</v>
      </c>
      <c r="X304" s="34">
        <f t="shared" si="29"/>
        <v>0.3</v>
      </c>
      <c r="Y304" s="36">
        <f t="shared" si="30"/>
        <v>6381180</v>
      </c>
      <c r="Z304" s="37" t="s">
        <v>719</v>
      </c>
    </row>
    <row r="305" spans="1:27" ht="28.5" x14ac:dyDescent="0.25">
      <c r="A305" s="1" t="s">
        <v>22</v>
      </c>
      <c r="B305" s="15" t="s">
        <v>23</v>
      </c>
      <c r="C305" s="28" t="s">
        <v>307</v>
      </c>
      <c r="D305" s="29">
        <f>MAX($D$8:D304)+1</f>
        <v>283</v>
      </c>
      <c r="E305" s="64" t="s">
        <v>344</v>
      </c>
      <c r="F305" s="31">
        <v>5611661737</v>
      </c>
      <c r="G305" s="32">
        <v>2.72</v>
      </c>
      <c r="H305" s="32"/>
      <c r="I305" s="32"/>
      <c r="J305" s="34">
        <f t="shared" si="25"/>
        <v>2.72</v>
      </c>
      <c r="K305" s="32">
        <v>2.72</v>
      </c>
      <c r="L305" s="32"/>
      <c r="M305" s="32"/>
      <c r="N305" s="34">
        <f t="shared" si="25"/>
        <v>2.72</v>
      </c>
      <c r="O305" s="32">
        <v>2.72</v>
      </c>
      <c r="P305" s="32"/>
      <c r="Q305" s="32"/>
      <c r="R305" s="34">
        <f t="shared" si="26"/>
        <v>2.72</v>
      </c>
      <c r="S305" s="35" t="s">
        <v>27</v>
      </c>
      <c r="T305" s="34">
        <f t="shared" si="27"/>
        <v>0.3</v>
      </c>
      <c r="U305" s="35" t="s">
        <v>27</v>
      </c>
      <c r="V305" s="34">
        <f t="shared" si="28"/>
        <v>0.3</v>
      </c>
      <c r="W305" s="35" t="s">
        <v>27</v>
      </c>
      <c r="X305" s="34">
        <f t="shared" si="29"/>
        <v>0.3</v>
      </c>
      <c r="Y305" s="36">
        <f t="shared" si="30"/>
        <v>5728320.0000000009</v>
      </c>
      <c r="Z305" s="37" t="s">
        <v>720</v>
      </c>
    </row>
    <row r="306" spans="1:27" s="115" customFormat="1" ht="28.5" x14ac:dyDescent="0.25">
      <c r="A306" s="108"/>
      <c r="B306" s="109"/>
      <c r="C306" s="110"/>
      <c r="D306" s="111">
        <f>MAX($D$8:D305)+1</f>
        <v>284</v>
      </c>
      <c r="E306" s="112" t="s">
        <v>345</v>
      </c>
      <c r="F306" s="113"/>
      <c r="G306" s="61"/>
      <c r="H306" s="61"/>
      <c r="I306" s="61"/>
      <c r="J306" s="34">
        <f t="shared" si="25"/>
        <v>0</v>
      </c>
      <c r="K306" s="61">
        <v>2.34</v>
      </c>
      <c r="L306" s="61"/>
      <c r="M306" s="61"/>
      <c r="N306" s="34">
        <f t="shared" si="25"/>
        <v>2.34</v>
      </c>
      <c r="O306" s="61">
        <v>2.34</v>
      </c>
      <c r="P306" s="61"/>
      <c r="Q306" s="61"/>
      <c r="R306" s="34">
        <f t="shared" si="26"/>
        <v>2.34</v>
      </c>
      <c r="S306" s="114" t="s">
        <v>346</v>
      </c>
      <c r="T306" s="34">
        <f t="shared" si="27"/>
        <v>0</v>
      </c>
      <c r="U306" s="35" t="s">
        <v>27</v>
      </c>
      <c r="V306" s="34">
        <f t="shared" si="28"/>
        <v>0.3</v>
      </c>
      <c r="W306" s="35" t="s">
        <v>27</v>
      </c>
      <c r="X306" s="34">
        <f t="shared" si="29"/>
        <v>0.3</v>
      </c>
      <c r="Y306" s="36">
        <f t="shared" si="30"/>
        <v>3285360</v>
      </c>
      <c r="Z306" s="37" t="s">
        <v>788</v>
      </c>
      <c r="AA306" s="110" t="s">
        <v>347</v>
      </c>
    </row>
    <row r="307" spans="1:27" ht="28.5" x14ac:dyDescent="0.25">
      <c r="B307" s="15"/>
      <c r="C307" s="28"/>
      <c r="D307" s="29" t="s">
        <v>20</v>
      </c>
      <c r="E307" s="116" t="s">
        <v>348</v>
      </c>
      <c r="F307" s="31"/>
      <c r="G307" s="32"/>
      <c r="H307" s="32"/>
      <c r="I307" s="32"/>
      <c r="J307" s="34"/>
      <c r="K307" s="32"/>
      <c r="L307" s="32"/>
      <c r="M307" s="32"/>
      <c r="N307" s="34"/>
      <c r="O307" s="32"/>
      <c r="P307" s="32"/>
      <c r="Q307" s="32"/>
      <c r="R307" s="34"/>
      <c r="S307" s="35"/>
      <c r="T307" s="34"/>
      <c r="U307" s="35"/>
      <c r="V307" s="34"/>
      <c r="W307" s="35"/>
      <c r="X307" s="34"/>
      <c r="Y307" s="36"/>
      <c r="Z307" s="37"/>
    </row>
    <row r="308" spans="1:27" ht="28.5" x14ac:dyDescent="0.25">
      <c r="A308" s="1" t="s">
        <v>22</v>
      </c>
      <c r="B308" s="15" t="s">
        <v>23</v>
      </c>
      <c r="C308" s="28" t="s">
        <v>349</v>
      </c>
      <c r="D308" s="29">
        <f>MAX($D$8:D307)+1</f>
        <v>285</v>
      </c>
      <c r="E308" s="46" t="s">
        <v>350</v>
      </c>
      <c r="F308" s="47">
        <v>5623454967</v>
      </c>
      <c r="G308" s="52">
        <v>3.66</v>
      </c>
      <c r="H308" s="33"/>
      <c r="I308" s="34">
        <v>0.5</v>
      </c>
      <c r="J308" s="34">
        <f t="shared" si="25"/>
        <v>4.16</v>
      </c>
      <c r="K308" s="52">
        <v>3.66</v>
      </c>
      <c r="L308" s="33"/>
      <c r="M308" s="34">
        <v>0.5</v>
      </c>
      <c r="N308" s="34">
        <f t="shared" si="25"/>
        <v>4.16</v>
      </c>
      <c r="O308" s="52">
        <v>3.66</v>
      </c>
      <c r="P308" s="33"/>
      <c r="Q308" s="34">
        <v>0.5</v>
      </c>
      <c r="R308" s="34">
        <f t="shared" si="26"/>
        <v>4.16</v>
      </c>
      <c r="S308" s="35" t="s">
        <v>27</v>
      </c>
      <c r="T308" s="34">
        <f t="shared" si="27"/>
        <v>0.3</v>
      </c>
      <c r="U308" s="35" t="s">
        <v>27</v>
      </c>
      <c r="V308" s="34">
        <f t="shared" si="28"/>
        <v>0.3</v>
      </c>
      <c r="W308" s="35" t="s">
        <v>27</v>
      </c>
      <c r="X308" s="34">
        <f t="shared" si="29"/>
        <v>0.3</v>
      </c>
      <c r="Y308" s="36">
        <f t="shared" si="30"/>
        <v>8760960</v>
      </c>
      <c r="Z308" s="37" t="s">
        <v>721</v>
      </c>
    </row>
    <row r="309" spans="1:27" ht="28.5" x14ac:dyDescent="0.25">
      <c r="A309" s="1" t="s">
        <v>22</v>
      </c>
      <c r="B309" s="15" t="s">
        <v>23</v>
      </c>
      <c r="C309" s="28" t="s">
        <v>351</v>
      </c>
      <c r="D309" s="29">
        <f>MAX($D$8:D308)+1</f>
        <v>286</v>
      </c>
      <c r="E309" s="103" t="s">
        <v>352</v>
      </c>
      <c r="F309" s="47">
        <v>5622241050</v>
      </c>
      <c r="G309" s="52">
        <v>4.9800000000000004</v>
      </c>
      <c r="H309" s="33">
        <f>G309*5%</f>
        <v>0.24900000000000003</v>
      </c>
      <c r="I309" s="34"/>
      <c r="J309" s="34">
        <f t="shared" si="25"/>
        <v>5.2290000000000001</v>
      </c>
      <c r="K309" s="52">
        <v>4.9800000000000004</v>
      </c>
      <c r="L309" s="33">
        <f>K309*5%</f>
        <v>0.24900000000000003</v>
      </c>
      <c r="M309" s="34"/>
      <c r="N309" s="34">
        <f t="shared" si="25"/>
        <v>5.2290000000000001</v>
      </c>
      <c r="O309" s="52">
        <v>4.9800000000000004</v>
      </c>
      <c r="P309" s="33">
        <f>O309*5%</f>
        <v>0.24900000000000003</v>
      </c>
      <c r="Q309" s="34"/>
      <c r="R309" s="34">
        <f t="shared" si="26"/>
        <v>5.2290000000000001</v>
      </c>
      <c r="S309" s="35" t="s">
        <v>27</v>
      </c>
      <c r="T309" s="34">
        <f t="shared" si="27"/>
        <v>0.3</v>
      </c>
      <c r="U309" s="35" t="s">
        <v>27</v>
      </c>
      <c r="V309" s="34">
        <f t="shared" si="28"/>
        <v>0.3</v>
      </c>
      <c r="W309" s="35" t="s">
        <v>27</v>
      </c>
      <c r="X309" s="34">
        <f t="shared" si="29"/>
        <v>0.3</v>
      </c>
      <c r="Y309" s="36">
        <f t="shared" si="30"/>
        <v>11012274</v>
      </c>
      <c r="Z309" s="37" t="s">
        <v>722</v>
      </c>
    </row>
    <row r="310" spans="1:27" ht="28.5" x14ac:dyDescent="0.25">
      <c r="A310" s="1" t="s">
        <v>22</v>
      </c>
      <c r="B310" s="15" t="s">
        <v>23</v>
      </c>
      <c r="C310" s="28" t="s">
        <v>351</v>
      </c>
      <c r="D310" s="29">
        <f>MAX($D$8:D309)+1</f>
        <v>287</v>
      </c>
      <c r="E310" s="103" t="s">
        <v>353</v>
      </c>
      <c r="F310" s="47">
        <v>8853379940</v>
      </c>
      <c r="G310" s="52">
        <v>3.99</v>
      </c>
      <c r="H310" s="33"/>
      <c r="I310" s="34"/>
      <c r="J310" s="34">
        <f t="shared" si="25"/>
        <v>3.99</v>
      </c>
      <c r="K310" s="52">
        <v>3.99</v>
      </c>
      <c r="L310" s="33"/>
      <c r="M310" s="34"/>
      <c r="N310" s="34">
        <f t="shared" si="25"/>
        <v>3.99</v>
      </c>
      <c r="O310" s="52">
        <v>3.99</v>
      </c>
      <c r="P310" s="33"/>
      <c r="Q310" s="34"/>
      <c r="R310" s="34">
        <f t="shared" si="26"/>
        <v>3.99</v>
      </c>
      <c r="S310" s="35" t="s">
        <v>27</v>
      </c>
      <c r="T310" s="34">
        <f t="shared" si="27"/>
        <v>0.3</v>
      </c>
      <c r="U310" s="35" t="s">
        <v>27</v>
      </c>
      <c r="V310" s="34">
        <f t="shared" si="28"/>
        <v>0.3</v>
      </c>
      <c r="W310" s="35" t="s">
        <v>27</v>
      </c>
      <c r="X310" s="34">
        <f t="shared" si="29"/>
        <v>0.3</v>
      </c>
      <c r="Y310" s="36">
        <f t="shared" si="30"/>
        <v>8402940</v>
      </c>
      <c r="Z310" s="37" t="s">
        <v>723</v>
      </c>
    </row>
    <row r="311" spans="1:27" ht="28.5" x14ac:dyDescent="0.25">
      <c r="A311" s="1" t="s">
        <v>22</v>
      </c>
      <c r="B311" s="15" t="s">
        <v>23</v>
      </c>
      <c r="C311" s="28" t="s">
        <v>351</v>
      </c>
      <c r="D311" s="29">
        <f>MAX($D$8:D310)+1</f>
        <v>288</v>
      </c>
      <c r="E311" s="103" t="s">
        <v>354</v>
      </c>
      <c r="F311" s="47">
        <v>8833373281</v>
      </c>
      <c r="G311" s="52">
        <v>4.0599999999999996</v>
      </c>
      <c r="H311" s="33">
        <f>G311*7%</f>
        <v>0.28420000000000001</v>
      </c>
      <c r="I311" s="34"/>
      <c r="J311" s="34">
        <f t="shared" si="25"/>
        <v>4.3441999999999998</v>
      </c>
      <c r="K311" s="52">
        <v>4.0599999999999996</v>
      </c>
      <c r="L311" s="33">
        <f>K311*7%</f>
        <v>0.28420000000000001</v>
      </c>
      <c r="M311" s="34"/>
      <c r="N311" s="34">
        <f t="shared" si="25"/>
        <v>4.3441999999999998</v>
      </c>
      <c r="O311" s="52">
        <v>4.0599999999999996</v>
      </c>
      <c r="P311" s="33">
        <f>O311*7%</f>
        <v>0.28420000000000001</v>
      </c>
      <c r="Q311" s="34"/>
      <c r="R311" s="34">
        <f t="shared" si="26"/>
        <v>4.3441999999999998</v>
      </c>
      <c r="S311" s="35" t="s">
        <v>27</v>
      </c>
      <c r="T311" s="34">
        <f t="shared" si="27"/>
        <v>0.3</v>
      </c>
      <c r="U311" s="35" t="s">
        <v>27</v>
      </c>
      <c r="V311" s="34">
        <f t="shared" si="28"/>
        <v>0.3</v>
      </c>
      <c r="W311" s="35" t="s">
        <v>27</v>
      </c>
      <c r="X311" s="34">
        <f t="shared" si="29"/>
        <v>0.3</v>
      </c>
      <c r="Y311" s="36">
        <f t="shared" si="30"/>
        <v>9148885.1999999993</v>
      </c>
      <c r="Z311" s="37" t="s">
        <v>724</v>
      </c>
    </row>
    <row r="312" spans="1:27" ht="28.5" x14ac:dyDescent="0.25">
      <c r="A312" s="1" t="s">
        <v>22</v>
      </c>
      <c r="B312" s="15" t="s">
        <v>23</v>
      </c>
      <c r="C312" s="28" t="s">
        <v>349</v>
      </c>
      <c r="D312" s="29">
        <f>MAX($D$8:D311)+1</f>
        <v>289</v>
      </c>
      <c r="E312" s="100" t="s">
        <v>355</v>
      </c>
      <c r="F312" s="47">
        <v>8823369417</v>
      </c>
      <c r="G312" s="117">
        <v>4.58</v>
      </c>
      <c r="H312" s="117"/>
      <c r="I312" s="117"/>
      <c r="J312" s="34">
        <f t="shared" si="25"/>
        <v>4.58</v>
      </c>
      <c r="K312" s="67">
        <v>4.58</v>
      </c>
      <c r="L312" s="67"/>
      <c r="M312" s="67"/>
      <c r="N312" s="34">
        <f t="shared" si="25"/>
        <v>4.58</v>
      </c>
      <c r="O312" s="67">
        <v>4.58</v>
      </c>
      <c r="P312" s="67"/>
      <c r="Q312" s="67"/>
      <c r="R312" s="34">
        <f t="shared" si="26"/>
        <v>4.58</v>
      </c>
      <c r="S312" s="35" t="s">
        <v>27</v>
      </c>
      <c r="T312" s="34">
        <f t="shared" si="27"/>
        <v>0.3</v>
      </c>
      <c r="U312" s="35" t="s">
        <v>27</v>
      </c>
      <c r="V312" s="34">
        <f t="shared" si="28"/>
        <v>0.3</v>
      </c>
      <c r="W312" s="35" t="s">
        <v>27</v>
      </c>
      <c r="X312" s="34">
        <f t="shared" si="29"/>
        <v>0.3</v>
      </c>
      <c r="Y312" s="36">
        <f t="shared" si="30"/>
        <v>9645480</v>
      </c>
      <c r="Z312" s="37" t="s">
        <v>725</v>
      </c>
    </row>
    <row r="313" spans="1:27" ht="28.5" x14ac:dyDescent="0.25">
      <c r="A313" s="1" t="s">
        <v>22</v>
      </c>
      <c r="B313" s="15" t="s">
        <v>23</v>
      </c>
      <c r="C313" s="28" t="s">
        <v>349</v>
      </c>
      <c r="D313" s="29">
        <f>MAX($D$8:D312)+1</f>
        <v>290</v>
      </c>
      <c r="E313" s="100" t="s">
        <v>356</v>
      </c>
      <c r="F313" s="47">
        <v>5623455137</v>
      </c>
      <c r="G313" s="96">
        <v>4.58</v>
      </c>
      <c r="H313" s="96"/>
      <c r="I313" s="96"/>
      <c r="J313" s="34">
        <f t="shared" si="25"/>
        <v>4.58</v>
      </c>
      <c r="K313" s="97">
        <v>4.58</v>
      </c>
      <c r="L313" s="97"/>
      <c r="M313" s="97"/>
      <c r="N313" s="34">
        <f t="shared" si="25"/>
        <v>4.58</v>
      </c>
      <c r="O313" s="97">
        <v>4.58</v>
      </c>
      <c r="P313" s="97"/>
      <c r="Q313" s="97"/>
      <c r="R313" s="34">
        <f t="shared" si="26"/>
        <v>4.58</v>
      </c>
      <c r="S313" s="35" t="s">
        <v>27</v>
      </c>
      <c r="T313" s="34">
        <f t="shared" si="27"/>
        <v>0.3</v>
      </c>
      <c r="U313" s="35" t="s">
        <v>27</v>
      </c>
      <c r="V313" s="34">
        <f t="shared" si="28"/>
        <v>0.3</v>
      </c>
      <c r="W313" s="35" t="s">
        <v>27</v>
      </c>
      <c r="X313" s="34">
        <f t="shared" si="29"/>
        <v>0.3</v>
      </c>
      <c r="Y313" s="36">
        <f t="shared" si="30"/>
        <v>9645480</v>
      </c>
      <c r="Z313" s="37" t="s">
        <v>726</v>
      </c>
    </row>
    <row r="314" spans="1:27" ht="28.5" x14ac:dyDescent="0.25">
      <c r="A314" s="1" t="s">
        <v>22</v>
      </c>
      <c r="B314" s="15" t="s">
        <v>23</v>
      </c>
      <c r="C314" s="28" t="s">
        <v>351</v>
      </c>
      <c r="D314" s="29">
        <f>MAX($D$8:D313)+1</f>
        <v>291</v>
      </c>
      <c r="E314" s="104" t="s">
        <v>357</v>
      </c>
      <c r="F314" s="47">
        <v>5623455119</v>
      </c>
      <c r="G314" s="118">
        <v>3.66</v>
      </c>
      <c r="H314" s="118"/>
      <c r="I314" s="118"/>
      <c r="J314" s="34">
        <f t="shared" si="25"/>
        <v>3.66</v>
      </c>
      <c r="K314" s="118">
        <v>3.66</v>
      </c>
      <c r="L314" s="118"/>
      <c r="M314" s="118"/>
      <c r="N314" s="34">
        <f t="shared" si="25"/>
        <v>3.66</v>
      </c>
      <c r="O314" s="118">
        <v>3.66</v>
      </c>
      <c r="P314" s="118"/>
      <c r="Q314" s="118"/>
      <c r="R314" s="34">
        <f t="shared" si="26"/>
        <v>3.66</v>
      </c>
      <c r="S314" s="35" t="s">
        <v>27</v>
      </c>
      <c r="T314" s="34">
        <f t="shared" si="27"/>
        <v>0.3</v>
      </c>
      <c r="U314" s="35" t="s">
        <v>27</v>
      </c>
      <c r="V314" s="34">
        <f t="shared" si="28"/>
        <v>0.3</v>
      </c>
      <c r="W314" s="35" t="s">
        <v>27</v>
      </c>
      <c r="X314" s="34">
        <f t="shared" si="29"/>
        <v>0.3</v>
      </c>
      <c r="Y314" s="36">
        <f t="shared" si="30"/>
        <v>7707960.0000000009</v>
      </c>
      <c r="Z314" s="37" t="s">
        <v>727</v>
      </c>
    </row>
    <row r="315" spans="1:27" ht="28.5" x14ac:dyDescent="0.25">
      <c r="A315" s="1" t="s">
        <v>22</v>
      </c>
      <c r="B315" s="15" t="s">
        <v>23</v>
      </c>
      <c r="C315" s="28" t="s">
        <v>349</v>
      </c>
      <c r="D315" s="29">
        <f>MAX($D$8:D314)+1</f>
        <v>292</v>
      </c>
      <c r="E315" s="46" t="s">
        <v>358</v>
      </c>
      <c r="F315" s="47">
        <v>5623454879</v>
      </c>
      <c r="G315" s="52">
        <v>3.03</v>
      </c>
      <c r="H315" s="52"/>
      <c r="I315" s="52"/>
      <c r="J315" s="34">
        <f t="shared" si="25"/>
        <v>3.03</v>
      </c>
      <c r="K315" s="52">
        <v>3.03</v>
      </c>
      <c r="L315" s="52"/>
      <c r="M315" s="52"/>
      <c r="N315" s="34">
        <f t="shared" si="25"/>
        <v>3.03</v>
      </c>
      <c r="O315" s="52">
        <v>3.03</v>
      </c>
      <c r="P315" s="52"/>
      <c r="Q315" s="52"/>
      <c r="R315" s="34">
        <f t="shared" si="26"/>
        <v>3.03</v>
      </c>
      <c r="S315" s="35" t="s">
        <v>27</v>
      </c>
      <c r="T315" s="34">
        <f t="shared" si="27"/>
        <v>0.3</v>
      </c>
      <c r="U315" s="35" t="s">
        <v>27</v>
      </c>
      <c r="V315" s="34">
        <f t="shared" si="28"/>
        <v>0.3</v>
      </c>
      <c r="W315" s="35" t="s">
        <v>27</v>
      </c>
      <c r="X315" s="34">
        <f t="shared" si="29"/>
        <v>0.3</v>
      </c>
      <c r="Y315" s="36">
        <f t="shared" si="30"/>
        <v>6381180</v>
      </c>
      <c r="Z315" s="37" t="s">
        <v>728</v>
      </c>
    </row>
    <row r="316" spans="1:27" ht="28.5" x14ac:dyDescent="0.25">
      <c r="A316" s="1" t="s">
        <v>22</v>
      </c>
      <c r="B316" s="15" t="s">
        <v>23</v>
      </c>
      <c r="C316" s="28" t="s">
        <v>349</v>
      </c>
      <c r="D316" s="29">
        <f>MAX($D$8:D315)+1</f>
        <v>293</v>
      </c>
      <c r="E316" s="46" t="s">
        <v>359</v>
      </c>
      <c r="F316" s="119">
        <v>8813278450</v>
      </c>
      <c r="G316" s="52">
        <v>3.03</v>
      </c>
      <c r="H316" s="52"/>
      <c r="I316" s="52"/>
      <c r="J316" s="34">
        <f t="shared" si="25"/>
        <v>3.03</v>
      </c>
      <c r="K316" s="52">
        <v>3.03</v>
      </c>
      <c r="L316" s="52"/>
      <c r="M316" s="52"/>
      <c r="N316" s="34">
        <f t="shared" si="25"/>
        <v>3.03</v>
      </c>
      <c r="O316" s="52">
        <v>3.03</v>
      </c>
      <c r="P316" s="52"/>
      <c r="Q316" s="52"/>
      <c r="R316" s="34">
        <f t="shared" si="26"/>
        <v>3.03</v>
      </c>
      <c r="S316" s="35" t="s">
        <v>77</v>
      </c>
      <c r="T316" s="34">
        <f t="shared" si="27"/>
        <v>0</v>
      </c>
      <c r="U316" s="35" t="s">
        <v>77</v>
      </c>
      <c r="V316" s="34">
        <f t="shared" si="28"/>
        <v>0</v>
      </c>
      <c r="W316" s="35" t="s">
        <v>77</v>
      </c>
      <c r="X316" s="34">
        <f t="shared" si="29"/>
        <v>0</v>
      </c>
      <c r="Y316" s="36">
        <f t="shared" si="30"/>
        <v>0</v>
      </c>
      <c r="Z316" s="37" t="s">
        <v>729</v>
      </c>
    </row>
    <row r="317" spans="1:27" ht="28.5" x14ac:dyDescent="0.25">
      <c r="A317" s="1" t="s">
        <v>22</v>
      </c>
      <c r="B317" s="15" t="s">
        <v>23</v>
      </c>
      <c r="C317" s="28" t="s">
        <v>351</v>
      </c>
      <c r="D317" s="29">
        <f>MAX($D$8:D316)+1</f>
        <v>294</v>
      </c>
      <c r="E317" s="50" t="s">
        <v>360</v>
      </c>
      <c r="F317" s="47">
        <v>5620231453</v>
      </c>
      <c r="G317" s="52">
        <v>3.66</v>
      </c>
      <c r="H317" s="52"/>
      <c r="I317" s="52"/>
      <c r="J317" s="34">
        <f t="shared" si="25"/>
        <v>3.66</v>
      </c>
      <c r="K317" s="52">
        <v>3.66</v>
      </c>
      <c r="L317" s="52"/>
      <c r="M317" s="52"/>
      <c r="N317" s="34">
        <f t="shared" si="25"/>
        <v>3.66</v>
      </c>
      <c r="O317" s="52">
        <v>3.66</v>
      </c>
      <c r="P317" s="52"/>
      <c r="Q317" s="52"/>
      <c r="R317" s="34">
        <f t="shared" si="26"/>
        <v>3.66</v>
      </c>
      <c r="S317" s="35" t="s">
        <v>27</v>
      </c>
      <c r="T317" s="34">
        <f t="shared" si="27"/>
        <v>0.3</v>
      </c>
      <c r="U317" s="35" t="s">
        <v>27</v>
      </c>
      <c r="V317" s="34">
        <f t="shared" si="28"/>
        <v>0.3</v>
      </c>
      <c r="W317" s="35" t="s">
        <v>27</v>
      </c>
      <c r="X317" s="34">
        <f t="shared" si="29"/>
        <v>0.3</v>
      </c>
      <c r="Y317" s="36">
        <f t="shared" si="30"/>
        <v>7707960.0000000009</v>
      </c>
      <c r="Z317" s="37" t="s">
        <v>730</v>
      </c>
    </row>
    <row r="318" spans="1:27" ht="28.5" x14ac:dyDescent="0.25">
      <c r="A318" s="1" t="s">
        <v>22</v>
      </c>
      <c r="B318" s="15" t="s">
        <v>23</v>
      </c>
      <c r="C318" s="28" t="s">
        <v>351</v>
      </c>
      <c r="D318" s="29">
        <f>MAX($D$8:D317)+1</f>
        <v>295</v>
      </c>
      <c r="E318" s="103" t="s">
        <v>361</v>
      </c>
      <c r="F318" s="47">
        <v>5623455067</v>
      </c>
      <c r="G318" s="52">
        <v>3.33</v>
      </c>
      <c r="H318" s="52"/>
      <c r="I318" s="52"/>
      <c r="J318" s="34">
        <f t="shared" si="25"/>
        <v>3.33</v>
      </c>
      <c r="K318" s="52">
        <v>3.33</v>
      </c>
      <c r="L318" s="52"/>
      <c r="M318" s="52"/>
      <c r="N318" s="34">
        <f t="shared" si="25"/>
        <v>3.33</v>
      </c>
      <c r="O318" s="52">
        <v>3.33</v>
      </c>
      <c r="P318" s="52"/>
      <c r="Q318" s="52"/>
      <c r="R318" s="34">
        <f t="shared" si="26"/>
        <v>3.33</v>
      </c>
      <c r="S318" s="35" t="s">
        <v>27</v>
      </c>
      <c r="T318" s="34">
        <f t="shared" si="27"/>
        <v>0.3</v>
      </c>
      <c r="U318" s="35" t="s">
        <v>27</v>
      </c>
      <c r="V318" s="34">
        <f t="shared" si="28"/>
        <v>0.3</v>
      </c>
      <c r="W318" s="35" t="s">
        <v>27</v>
      </c>
      <c r="X318" s="34">
        <f t="shared" si="29"/>
        <v>0.3</v>
      </c>
      <c r="Y318" s="36">
        <f t="shared" si="30"/>
        <v>7012980</v>
      </c>
      <c r="Z318" s="37" t="s">
        <v>731</v>
      </c>
    </row>
    <row r="319" spans="1:27" ht="28.5" x14ac:dyDescent="0.25">
      <c r="A319" s="1" t="s">
        <v>22</v>
      </c>
      <c r="B319" s="15" t="s">
        <v>23</v>
      </c>
      <c r="C319" s="28" t="s">
        <v>362</v>
      </c>
      <c r="D319" s="29">
        <f>MAX($D$8:D318)+1</f>
        <v>296</v>
      </c>
      <c r="E319" s="103" t="s">
        <v>363</v>
      </c>
      <c r="F319" s="47">
        <v>5623455146</v>
      </c>
      <c r="G319" s="52">
        <v>3.66</v>
      </c>
      <c r="H319" s="52"/>
      <c r="I319" s="52"/>
      <c r="J319" s="34">
        <f t="shared" si="25"/>
        <v>3.66</v>
      </c>
      <c r="K319" s="52">
        <v>3.66</v>
      </c>
      <c r="L319" s="52"/>
      <c r="M319" s="52"/>
      <c r="N319" s="34">
        <f t="shared" si="25"/>
        <v>3.66</v>
      </c>
      <c r="O319" s="52">
        <v>3.66</v>
      </c>
      <c r="P319" s="52"/>
      <c r="Q319" s="52"/>
      <c r="R319" s="34">
        <f t="shared" si="26"/>
        <v>3.66</v>
      </c>
      <c r="S319" s="35" t="s">
        <v>27</v>
      </c>
      <c r="T319" s="34">
        <f t="shared" si="27"/>
        <v>0.3</v>
      </c>
      <c r="U319" s="35" t="s">
        <v>27</v>
      </c>
      <c r="V319" s="34">
        <f t="shared" si="28"/>
        <v>0.3</v>
      </c>
      <c r="W319" s="35" t="s">
        <v>27</v>
      </c>
      <c r="X319" s="34">
        <f t="shared" si="29"/>
        <v>0.3</v>
      </c>
      <c r="Y319" s="36">
        <f t="shared" si="30"/>
        <v>7707960.0000000009</v>
      </c>
      <c r="Z319" s="37" t="s">
        <v>732</v>
      </c>
    </row>
    <row r="320" spans="1:27" ht="28.5" x14ac:dyDescent="0.25">
      <c r="A320" s="1" t="s">
        <v>22</v>
      </c>
      <c r="B320" s="15" t="s">
        <v>23</v>
      </c>
      <c r="C320" s="28" t="s">
        <v>349</v>
      </c>
      <c r="D320" s="29">
        <f>MAX($D$8:D319)+1</f>
        <v>297</v>
      </c>
      <c r="E320" s="46" t="s">
        <v>364</v>
      </c>
      <c r="F320" s="47">
        <v>8833369428</v>
      </c>
      <c r="G320" s="52">
        <v>3</v>
      </c>
      <c r="H320" s="52"/>
      <c r="I320" s="52"/>
      <c r="J320" s="34">
        <f t="shared" si="25"/>
        <v>3</v>
      </c>
      <c r="K320" s="52">
        <v>3</v>
      </c>
      <c r="L320" s="52"/>
      <c r="M320" s="52"/>
      <c r="N320" s="34">
        <f t="shared" si="25"/>
        <v>3</v>
      </c>
      <c r="O320" s="52">
        <v>3</v>
      </c>
      <c r="P320" s="52"/>
      <c r="Q320" s="52"/>
      <c r="R320" s="34">
        <f t="shared" si="26"/>
        <v>3</v>
      </c>
      <c r="S320" s="35" t="s">
        <v>27</v>
      </c>
      <c r="T320" s="34">
        <f t="shared" si="27"/>
        <v>0.3</v>
      </c>
      <c r="U320" s="35" t="s">
        <v>27</v>
      </c>
      <c r="V320" s="34">
        <f t="shared" si="28"/>
        <v>0.3</v>
      </c>
      <c r="W320" s="35" t="s">
        <v>27</v>
      </c>
      <c r="X320" s="34">
        <f t="shared" si="29"/>
        <v>0.3</v>
      </c>
      <c r="Y320" s="36">
        <f t="shared" si="30"/>
        <v>6317999.9999999991</v>
      </c>
      <c r="Z320" s="37" t="s">
        <v>733</v>
      </c>
    </row>
    <row r="321" spans="1:26" ht="28.5" x14ac:dyDescent="0.25">
      <c r="A321" s="1" t="s">
        <v>22</v>
      </c>
      <c r="B321" s="15" t="s">
        <v>23</v>
      </c>
      <c r="C321" s="28" t="s">
        <v>351</v>
      </c>
      <c r="D321" s="29">
        <f>MAX($D$8:D320)+1</f>
        <v>298</v>
      </c>
      <c r="E321" s="102" t="s">
        <v>365</v>
      </c>
      <c r="F321" s="47">
        <v>5623455100</v>
      </c>
      <c r="G321" s="52">
        <v>3</v>
      </c>
      <c r="H321" s="52"/>
      <c r="I321" s="52"/>
      <c r="J321" s="34">
        <f t="shared" si="25"/>
        <v>3</v>
      </c>
      <c r="K321" s="52">
        <v>3</v>
      </c>
      <c r="L321" s="52"/>
      <c r="M321" s="52"/>
      <c r="N321" s="34">
        <f t="shared" si="25"/>
        <v>3</v>
      </c>
      <c r="O321" s="52">
        <v>3</v>
      </c>
      <c r="P321" s="52"/>
      <c r="Q321" s="52"/>
      <c r="R321" s="34">
        <f t="shared" si="26"/>
        <v>3</v>
      </c>
      <c r="S321" s="35" t="s">
        <v>27</v>
      </c>
      <c r="T321" s="34">
        <f t="shared" si="27"/>
        <v>0.3</v>
      </c>
      <c r="U321" s="35" t="s">
        <v>27</v>
      </c>
      <c r="V321" s="34">
        <f t="shared" si="28"/>
        <v>0.3</v>
      </c>
      <c r="W321" s="35" t="s">
        <v>27</v>
      </c>
      <c r="X321" s="34">
        <f t="shared" si="29"/>
        <v>0.3</v>
      </c>
      <c r="Y321" s="36">
        <f t="shared" si="30"/>
        <v>6317999.9999999991</v>
      </c>
      <c r="Z321" s="37" t="s">
        <v>734</v>
      </c>
    </row>
    <row r="322" spans="1:26" ht="28.5" x14ac:dyDescent="0.25">
      <c r="A322" s="1" t="s">
        <v>22</v>
      </c>
      <c r="B322" s="15" t="s">
        <v>23</v>
      </c>
      <c r="C322" s="28" t="s">
        <v>351</v>
      </c>
      <c r="D322" s="29">
        <f>MAX($D$8:D321)+1</f>
        <v>299</v>
      </c>
      <c r="E322" s="46" t="s">
        <v>366</v>
      </c>
      <c r="F322" s="47">
        <v>5623455544</v>
      </c>
      <c r="G322" s="52">
        <v>3.33</v>
      </c>
      <c r="H322" s="52"/>
      <c r="I322" s="52"/>
      <c r="J322" s="34">
        <f t="shared" si="25"/>
        <v>3.33</v>
      </c>
      <c r="K322" s="52">
        <v>3.33</v>
      </c>
      <c r="L322" s="52"/>
      <c r="M322" s="52"/>
      <c r="N322" s="34">
        <f t="shared" si="25"/>
        <v>3.33</v>
      </c>
      <c r="O322" s="52">
        <v>3.33</v>
      </c>
      <c r="P322" s="52"/>
      <c r="Q322" s="52"/>
      <c r="R322" s="34">
        <f t="shared" si="26"/>
        <v>3.33</v>
      </c>
      <c r="S322" s="35" t="s">
        <v>27</v>
      </c>
      <c r="T322" s="34">
        <f t="shared" si="27"/>
        <v>0.3</v>
      </c>
      <c r="U322" s="35" t="s">
        <v>27</v>
      </c>
      <c r="V322" s="34">
        <f t="shared" si="28"/>
        <v>0.3</v>
      </c>
      <c r="W322" s="35" t="s">
        <v>27</v>
      </c>
      <c r="X322" s="34">
        <f t="shared" si="29"/>
        <v>0.3</v>
      </c>
      <c r="Y322" s="36">
        <f t="shared" si="30"/>
        <v>7012980</v>
      </c>
      <c r="Z322" s="37" t="s">
        <v>735</v>
      </c>
    </row>
    <row r="323" spans="1:26" ht="28.5" x14ac:dyDescent="0.25">
      <c r="A323" s="1" t="s">
        <v>22</v>
      </c>
      <c r="B323" s="15" t="s">
        <v>23</v>
      </c>
      <c r="C323" s="28" t="s">
        <v>349</v>
      </c>
      <c r="D323" s="29">
        <f>MAX($D$8:D322)+1</f>
        <v>300</v>
      </c>
      <c r="E323" s="45" t="s">
        <v>367</v>
      </c>
      <c r="F323" s="31">
        <v>5611148887</v>
      </c>
      <c r="G323" s="32">
        <v>3.33</v>
      </c>
      <c r="H323" s="32"/>
      <c r="I323" s="32"/>
      <c r="J323" s="34">
        <f t="shared" si="25"/>
        <v>3.33</v>
      </c>
      <c r="K323" s="32">
        <v>3.33</v>
      </c>
      <c r="L323" s="32"/>
      <c r="M323" s="32"/>
      <c r="N323" s="34">
        <f t="shared" si="25"/>
        <v>3.33</v>
      </c>
      <c r="O323" s="32">
        <v>3.33</v>
      </c>
      <c r="P323" s="32"/>
      <c r="Q323" s="32"/>
      <c r="R323" s="34">
        <f t="shared" si="26"/>
        <v>3.33</v>
      </c>
      <c r="S323" s="35" t="s">
        <v>27</v>
      </c>
      <c r="T323" s="34">
        <f t="shared" si="27"/>
        <v>0.3</v>
      </c>
      <c r="U323" s="35" t="s">
        <v>27</v>
      </c>
      <c r="V323" s="34">
        <f t="shared" si="28"/>
        <v>0.3</v>
      </c>
      <c r="W323" s="35" t="s">
        <v>27</v>
      </c>
      <c r="X323" s="34">
        <f t="shared" si="29"/>
        <v>0.3</v>
      </c>
      <c r="Y323" s="36">
        <f t="shared" si="30"/>
        <v>7012980</v>
      </c>
      <c r="Z323" s="37" t="s">
        <v>736</v>
      </c>
    </row>
    <row r="324" spans="1:26" ht="28.5" x14ac:dyDescent="0.25">
      <c r="A324" s="1" t="s">
        <v>22</v>
      </c>
      <c r="B324" s="15" t="s">
        <v>23</v>
      </c>
      <c r="C324" s="28" t="s">
        <v>349</v>
      </c>
      <c r="D324" s="29">
        <f>MAX($D$8:D323)+1</f>
        <v>301</v>
      </c>
      <c r="E324" s="49" t="s">
        <v>368</v>
      </c>
      <c r="F324" s="31">
        <v>5611149118</v>
      </c>
      <c r="G324" s="32">
        <v>3.33</v>
      </c>
      <c r="H324" s="32"/>
      <c r="I324" s="32"/>
      <c r="J324" s="34">
        <f t="shared" si="25"/>
        <v>3.33</v>
      </c>
      <c r="K324" s="32">
        <v>3.33</v>
      </c>
      <c r="L324" s="32"/>
      <c r="M324" s="32"/>
      <c r="N324" s="34">
        <f t="shared" si="25"/>
        <v>3.33</v>
      </c>
      <c r="O324" s="32">
        <v>3.33</v>
      </c>
      <c r="P324" s="32"/>
      <c r="Q324" s="32"/>
      <c r="R324" s="34">
        <f t="shared" si="26"/>
        <v>3.33</v>
      </c>
      <c r="S324" s="35" t="s">
        <v>27</v>
      </c>
      <c r="T324" s="34">
        <f t="shared" si="27"/>
        <v>0.3</v>
      </c>
      <c r="U324" s="35" t="s">
        <v>27</v>
      </c>
      <c r="V324" s="34">
        <f t="shared" si="28"/>
        <v>0.3</v>
      </c>
      <c r="W324" s="35" t="s">
        <v>27</v>
      </c>
      <c r="X324" s="34">
        <f t="shared" si="29"/>
        <v>0.3</v>
      </c>
      <c r="Y324" s="36">
        <f t="shared" si="30"/>
        <v>7012980</v>
      </c>
      <c r="Z324" s="37" t="s">
        <v>737</v>
      </c>
    </row>
    <row r="325" spans="1:26" ht="28.5" x14ac:dyDescent="0.25">
      <c r="A325" s="1" t="s">
        <v>22</v>
      </c>
      <c r="B325" s="15" t="s">
        <v>23</v>
      </c>
      <c r="C325" s="28" t="s">
        <v>369</v>
      </c>
      <c r="D325" s="29">
        <f>MAX($D$8:D324)+1</f>
        <v>302</v>
      </c>
      <c r="E325" s="45" t="s">
        <v>370</v>
      </c>
      <c r="F325" s="31">
        <v>5610225981</v>
      </c>
      <c r="G325" s="32">
        <v>4.6500000000000004</v>
      </c>
      <c r="H325" s="32"/>
      <c r="I325" s="32"/>
      <c r="J325" s="34">
        <f t="shared" si="25"/>
        <v>4.6500000000000004</v>
      </c>
      <c r="K325" s="32">
        <v>4.6500000000000004</v>
      </c>
      <c r="L325" s="32"/>
      <c r="M325" s="32"/>
      <c r="N325" s="34">
        <f t="shared" si="25"/>
        <v>4.6500000000000004</v>
      </c>
      <c r="O325" s="32">
        <v>4.6500000000000004</v>
      </c>
      <c r="P325" s="32"/>
      <c r="Q325" s="32"/>
      <c r="R325" s="34">
        <f t="shared" si="26"/>
        <v>4.6500000000000004</v>
      </c>
      <c r="S325" s="35" t="s">
        <v>27</v>
      </c>
      <c r="T325" s="34">
        <f t="shared" si="27"/>
        <v>0.3</v>
      </c>
      <c r="U325" s="35" t="s">
        <v>27</v>
      </c>
      <c r="V325" s="34">
        <f t="shared" si="28"/>
        <v>0.3</v>
      </c>
      <c r="W325" s="35" t="s">
        <v>27</v>
      </c>
      <c r="X325" s="34">
        <f t="shared" si="29"/>
        <v>0.3</v>
      </c>
      <c r="Y325" s="36">
        <f t="shared" si="30"/>
        <v>9792900.0000000019</v>
      </c>
      <c r="Z325" s="37" t="s">
        <v>738</v>
      </c>
    </row>
    <row r="326" spans="1:26" ht="28.5" x14ac:dyDescent="0.25">
      <c r="A326" s="1" t="s">
        <v>22</v>
      </c>
      <c r="B326" s="15" t="s">
        <v>23</v>
      </c>
      <c r="C326" s="28" t="s">
        <v>362</v>
      </c>
      <c r="D326" s="29">
        <f>MAX($D$8:D325)+1</f>
        <v>303</v>
      </c>
      <c r="E326" s="49" t="s">
        <v>371</v>
      </c>
      <c r="F326" s="31">
        <v>5610602821</v>
      </c>
      <c r="G326" s="32">
        <v>3.99</v>
      </c>
      <c r="H326" s="32"/>
      <c r="I326" s="32"/>
      <c r="J326" s="34">
        <f t="shared" si="25"/>
        <v>3.99</v>
      </c>
      <c r="K326" s="32">
        <v>3.99</v>
      </c>
      <c r="L326" s="32"/>
      <c r="M326" s="32"/>
      <c r="N326" s="34">
        <f t="shared" si="25"/>
        <v>3.99</v>
      </c>
      <c r="O326" s="32">
        <v>3.99</v>
      </c>
      <c r="P326" s="32"/>
      <c r="Q326" s="32"/>
      <c r="R326" s="34">
        <f t="shared" si="26"/>
        <v>3.99</v>
      </c>
      <c r="S326" s="35" t="s">
        <v>27</v>
      </c>
      <c r="T326" s="34">
        <f t="shared" si="27"/>
        <v>0.3</v>
      </c>
      <c r="U326" s="35" t="s">
        <v>27</v>
      </c>
      <c r="V326" s="34">
        <f t="shared" si="28"/>
        <v>0.3</v>
      </c>
      <c r="W326" s="35" t="s">
        <v>27</v>
      </c>
      <c r="X326" s="34">
        <f t="shared" si="29"/>
        <v>0.3</v>
      </c>
      <c r="Y326" s="36">
        <f t="shared" si="30"/>
        <v>8402940</v>
      </c>
      <c r="Z326" s="37" t="s">
        <v>739</v>
      </c>
    </row>
    <row r="327" spans="1:26" ht="28.5" x14ac:dyDescent="0.25">
      <c r="A327" s="1" t="s">
        <v>22</v>
      </c>
      <c r="B327" s="15" t="s">
        <v>23</v>
      </c>
      <c r="C327" s="28" t="s">
        <v>369</v>
      </c>
      <c r="D327" s="29">
        <f>MAX($D$8:D326)+1</f>
        <v>304</v>
      </c>
      <c r="E327" s="49" t="s">
        <v>372</v>
      </c>
      <c r="F327" s="31">
        <v>5611040947</v>
      </c>
      <c r="G327" s="32">
        <v>4.32</v>
      </c>
      <c r="H327" s="32"/>
      <c r="I327" s="32"/>
      <c r="J327" s="34">
        <f t="shared" si="25"/>
        <v>4.32</v>
      </c>
      <c r="K327" s="32">
        <v>4.32</v>
      </c>
      <c r="L327" s="32"/>
      <c r="M327" s="32"/>
      <c r="N327" s="34">
        <f t="shared" si="25"/>
        <v>4.32</v>
      </c>
      <c r="O327" s="32">
        <v>4.32</v>
      </c>
      <c r="P327" s="32"/>
      <c r="Q327" s="32"/>
      <c r="R327" s="34">
        <f t="shared" si="26"/>
        <v>4.32</v>
      </c>
      <c r="S327" s="35" t="s">
        <v>27</v>
      </c>
      <c r="T327" s="34">
        <f t="shared" si="27"/>
        <v>0.3</v>
      </c>
      <c r="U327" s="35" t="s">
        <v>27</v>
      </c>
      <c r="V327" s="34">
        <f t="shared" si="28"/>
        <v>0.3</v>
      </c>
      <c r="W327" s="35" t="s">
        <v>27</v>
      </c>
      <c r="X327" s="34">
        <f t="shared" si="29"/>
        <v>0.3</v>
      </c>
      <c r="Y327" s="36">
        <f t="shared" si="30"/>
        <v>9097920</v>
      </c>
      <c r="Z327" s="37" t="s">
        <v>740</v>
      </c>
    </row>
    <row r="328" spans="1:26" ht="28.5" x14ac:dyDescent="0.25">
      <c r="A328" s="1" t="s">
        <v>22</v>
      </c>
      <c r="B328" s="15" t="s">
        <v>23</v>
      </c>
      <c r="C328" s="28" t="s">
        <v>369</v>
      </c>
      <c r="D328" s="29">
        <f>MAX($D$8:D327)+1</f>
        <v>305</v>
      </c>
      <c r="E328" s="45" t="s">
        <v>373</v>
      </c>
      <c r="F328" s="31">
        <v>5610225963</v>
      </c>
      <c r="G328" s="32">
        <v>4.32</v>
      </c>
      <c r="H328" s="32"/>
      <c r="I328" s="32"/>
      <c r="J328" s="34">
        <f t="shared" si="25"/>
        <v>4.32</v>
      </c>
      <c r="K328" s="32">
        <v>4.32</v>
      </c>
      <c r="L328" s="32"/>
      <c r="M328" s="32"/>
      <c r="N328" s="34">
        <f t="shared" si="25"/>
        <v>4.32</v>
      </c>
      <c r="O328" s="32">
        <v>4.32</v>
      </c>
      <c r="P328" s="32"/>
      <c r="Q328" s="32"/>
      <c r="R328" s="34">
        <f t="shared" si="26"/>
        <v>4.32</v>
      </c>
      <c r="S328" s="35" t="s">
        <v>27</v>
      </c>
      <c r="T328" s="34">
        <f t="shared" si="27"/>
        <v>0.3</v>
      </c>
      <c r="U328" s="35" t="s">
        <v>27</v>
      </c>
      <c r="V328" s="34">
        <f t="shared" si="28"/>
        <v>0.3</v>
      </c>
      <c r="W328" s="35" t="s">
        <v>27</v>
      </c>
      <c r="X328" s="34">
        <f t="shared" si="29"/>
        <v>0.3</v>
      </c>
      <c r="Y328" s="36">
        <f t="shared" si="30"/>
        <v>9097920</v>
      </c>
      <c r="Z328" s="37" t="s">
        <v>741</v>
      </c>
    </row>
    <row r="329" spans="1:26" ht="28.5" x14ac:dyDescent="0.25">
      <c r="A329" s="1" t="s">
        <v>22</v>
      </c>
      <c r="B329" s="15" t="s">
        <v>23</v>
      </c>
      <c r="C329" s="28" t="s">
        <v>369</v>
      </c>
      <c r="D329" s="29">
        <f>MAX($D$8:D328)+1</f>
        <v>306</v>
      </c>
      <c r="E329" s="49" t="s">
        <v>374</v>
      </c>
      <c r="F329" s="31">
        <v>5610266874</v>
      </c>
      <c r="G329" s="32">
        <v>4.32</v>
      </c>
      <c r="H329" s="32"/>
      <c r="I329" s="32"/>
      <c r="J329" s="34">
        <f t="shared" si="25"/>
        <v>4.32</v>
      </c>
      <c r="K329" s="32">
        <v>4.32</v>
      </c>
      <c r="L329" s="32"/>
      <c r="M329" s="32"/>
      <c r="N329" s="34">
        <f t="shared" si="25"/>
        <v>4.32</v>
      </c>
      <c r="O329" s="32">
        <v>4.32</v>
      </c>
      <c r="P329" s="32"/>
      <c r="Q329" s="32"/>
      <c r="R329" s="34">
        <f t="shared" si="26"/>
        <v>4.32</v>
      </c>
      <c r="S329" s="35" t="s">
        <v>27</v>
      </c>
      <c r="T329" s="34">
        <f t="shared" si="27"/>
        <v>0.3</v>
      </c>
      <c r="U329" s="35" t="s">
        <v>27</v>
      </c>
      <c r="V329" s="34">
        <f t="shared" si="28"/>
        <v>0.3</v>
      </c>
      <c r="W329" s="35" t="s">
        <v>27</v>
      </c>
      <c r="X329" s="34">
        <f t="shared" si="29"/>
        <v>0.3</v>
      </c>
      <c r="Y329" s="36">
        <f t="shared" si="30"/>
        <v>9097920</v>
      </c>
      <c r="Z329" s="37" t="s">
        <v>742</v>
      </c>
    </row>
    <row r="330" spans="1:26" ht="28.5" x14ac:dyDescent="0.25">
      <c r="A330" s="1" t="s">
        <v>22</v>
      </c>
      <c r="B330" s="15" t="s">
        <v>23</v>
      </c>
      <c r="C330" s="28" t="s">
        <v>375</v>
      </c>
      <c r="D330" s="29">
        <f>MAX($D$8:D329)+1</f>
        <v>307</v>
      </c>
      <c r="E330" s="49" t="s">
        <v>376</v>
      </c>
      <c r="F330" s="31">
        <v>5610543984</v>
      </c>
      <c r="G330" s="32">
        <v>3.66</v>
      </c>
      <c r="H330" s="32"/>
      <c r="I330" s="32"/>
      <c r="J330" s="34">
        <f t="shared" ref="J330:N374" si="31">G330+H330+I330</f>
        <v>3.66</v>
      </c>
      <c r="K330" s="32">
        <v>3.66</v>
      </c>
      <c r="L330" s="32"/>
      <c r="M330" s="32"/>
      <c r="N330" s="34">
        <f t="shared" si="31"/>
        <v>3.66</v>
      </c>
      <c r="O330" s="32">
        <v>3.66</v>
      </c>
      <c r="P330" s="32"/>
      <c r="Q330" s="32"/>
      <c r="R330" s="34">
        <f t="shared" ref="R330:R374" si="32">O330+P330+Q330</f>
        <v>3.66</v>
      </c>
      <c r="S330" s="35" t="s">
        <v>27</v>
      </c>
      <c r="T330" s="34">
        <f t="shared" si="27"/>
        <v>0.3</v>
      </c>
      <c r="U330" s="35" t="s">
        <v>27</v>
      </c>
      <c r="V330" s="34">
        <f t="shared" si="28"/>
        <v>0.3</v>
      </c>
      <c r="W330" s="35" t="s">
        <v>27</v>
      </c>
      <c r="X330" s="34">
        <f t="shared" si="29"/>
        <v>0.3</v>
      </c>
      <c r="Y330" s="36">
        <f t="shared" ref="Y330:Y374" si="33">(J330*T330+N330*V330+R330*X330)*2340000</f>
        <v>7707960.0000000009</v>
      </c>
      <c r="Z330" s="37" t="s">
        <v>743</v>
      </c>
    </row>
    <row r="331" spans="1:26" ht="28.5" x14ac:dyDescent="0.25">
      <c r="A331" s="1" t="s">
        <v>22</v>
      </c>
      <c r="B331" s="15" t="s">
        <v>23</v>
      </c>
      <c r="C331" s="28" t="s">
        <v>375</v>
      </c>
      <c r="D331" s="29">
        <f>MAX($D$8:D330)+1</f>
        <v>308</v>
      </c>
      <c r="E331" s="49" t="s">
        <v>377</v>
      </c>
      <c r="F331" s="31">
        <v>5610413810</v>
      </c>
      <c r="G331" s="32">
        <v>3.65</v>
      </c>
      <c r="H331" s="32"/>
      <c r="I331" s="32"/>
      <c r="J331" s="34">
        <f t="shared" si="31"/>
        <v>3.65</v>
      </c>
      <c r="K331" s="32">
        <v>3.65</v>
      </c>
      <c r="L331" s="32"/>
      <c r="M331" s="32"/>
      <c r="N331" s="34">
        <f t="shared" si="31"/>
        <v>3.65</v>
      </c>
      <c r="O331" s="32">
        <v>3.65</v>
      </c>
      <c r="P331" s="32"/>
      <c r="Q331" s="32"/>
      <c r="R331" s="34">
        <f t="shared" si="32"/>
        <v>3.65</v>
      </c>
      <c r="S331" s="35" t="s">
        <v>27</v>
      </c>
      <c r="T331" s="34">
        <f t="shared" ref="T331:T372" si="34">IF(S331="hoàn thành xuất sắc nhiệm vụ",0.5,IF(S331="hoàn thành tốt nhiệm vụ",0.3,IF(S331="hoàn thành nhiệm vụ",0.1,0)))</f>
        <v>0.3</v>
      </c>
      <c r="U331" s="35" t="s">
        <v>27</v>
      </c>
      <c r="V331" s="34">
        <f t="shared" ref="V331:V372" si="35">IF(U331="hoàn thành xuất sắc nhiệm vụ",0.5,IF(U331="hoàn thành tốt nhiệm vụ",0.3,IF(U331="hoàn thành nhiệm vụ",0.1,0)))</f>
        <v>0.3</v>
      </c>
      <c r="W331" s="35" t="s">
        <v>27</v>
      </c>
      <c r="X331" s="34">
        <f t="shared" ref="X331:X372" si="36">IF(W331="hoàn thành xuất sắc nhiệm vụ",0.5,IF(W331="hoàn thành tốt nhiệm vụ",0.3,IF(W331="hoàn thành nhiệm vụ",0.1,0)))</f>
        <v>0.3</v>
      </c>
      <c r="Y331" s="36">
        <f t="shared" si="33"/>
        <v>7686900</v>
      </c>
      <c r="Z331" s="37" t="s">
        <v>744</v>
      </c>
    </row>
    <row r="332" spans="1:26" ht="28.5" x14ac:dyDescent="0.25">
      <c r="A332" s="1" t="s">
        <v>22</v>
      </c>
      <c r="B332" s="15" t="s">
        <v>23</v>
      </c>
      <c r="C332" s="28" t="s">
        <v>375</v>
      </c>
      <c r="D332" s="29">
        <f>MAX($D$8:D331)+1</f>
        <v>309</v>
      </c>
      <c r="E332" s="45" t="s">
        <v>378</v>
      </c>
      <c r="F332" s="31">
        <v>5610413829</v>
      </c>
      <c r="G332" s="61">
        <v>3.99</v>
      </c>
      <c r="H332" s="61"/>
      <c r="I332" s="61"/>
      <c r="J332" s="34">
        <f t="shared" si="31"/>
        <v>3.99</v>
      </c>
      <c r="K332" s="32">
        <v>3.99</v>
      </c>
      <c r="L332" s="32"/>
      <c r="M332" s="32"/>
      <c r="N332" s="34">
        <f t="shared" si="31"/>
        <v>3.99</v>
      </c>
      <c r="O332" s="32">
        <v>3.99</v>
      </c>
      <c r="P332" s="32"/>
      <c r="Q332" s="32"/>
      <c r="R332" s="34">
        <f t="shared" si="32"/>
        <v>3.99</v>
      </c>
      <c r="S332" s="35" t="s">
        <v>27</v>
      </c>
      <c r="T332" s="34">
        <f t="shared" si="34"/>
        <v>0.3</v>
      </c>
      <c r="U332" s="35" t="s">
        <v>27</v>
      </c>
      <c r="V332" s="34">
        <f t="shared" si="35"/>
        <v>0.3</v>
      </c>
      <c r="W332" s="35" t="s">
        <v>27</v>
      </c>
      <c r="X332" s="34">
        <f t="shared" si="36"/>
        <v>0.3</v>
      </c>
      <c r="Y332" s="36">
        <f t="shared" si="33"/>
        <v>8402940</v>
      </c>
      <c r="Z332" s="37" t="s">
        <v>745</v>
      </c>
    </row>
    <row r="333" spans="1:26" ht="28.5" x14ac:dyDescent="0.25">
      <c r="A333" s="1" t="s">
        <v>22</v>
      </c>
      <c r="B333" s="15" t="s">
        <v>23</v>
      </c>
      <c r="C333" s="28" t="s">
        <v>369</v>
      </c>
      <c r="D333" s="29">
        <f>MAX($D$8:D332)+1</f>
        <v>310</v>
      </c>
      <c r="E333" s="45" t="s">
        <v>379</v>
      </c>
      <c r="F333" s="31">
        <v>5610416758</v>
      </c>
      <c r="G333" s="32">
        <v>3.99</v>
      </c>
      <c r="H333" s="32"/>
      <c r="I333" s="32"/>
      <c r="J333" s="34">
        <f t="shared" si="31"/>
        <v>3.99</v>
      </c>
      <c r="K333" s="32">
        <v>3.99</v>
      </c>
      <c r="L333" s="32"/>
      <c r="M333" s="32"/>
      <c r="N333" s="34">
        <f t="shared" si="31"/>
        <v>3.99</v>
      </c>
      <c r="O333" s="32">
        <v>3.99</v>
      </c>
      <c r="P333" s="32"/>
      <c r="Q333" s="32"/>
      <c r="R333" s="34">
        <f t="shared" si="32"/>
        <v>3.99</v>
      </c>
      <c r="S333" s="35" t="s">
        <v>27</v>
      </c>
      <c r="T333" s="34">
        <f t="shared" si="34"/>
        <v>0.3</v>
      </c>
      <c r="U333" s="35" t="s">
        <v>27</v>
      </c>
      <c r="V333" s="34">
        <f t="shared" si="35"/>
        <v>0.3</v>
      </c>
      <c r="W333" s="35" t="s">
        <v>27</v>
      </c>
      <c r="X333" s="34">
        <f t="shared" si="36"/>
        <v>0.3</v>
      </c>
      <c r="Y333" s="36">
        <f t="shared" si="33"/>
        <v>8402940</v>
      </c>
      <c r="Z333" s="37" t="s">
        <v>746</v>
      </c>
    </row>
    <row r="334" spans="1:26" ht="28.5" x14ac:dyDescent="0.25">
      <c r="A334" s="1" t="s">
        <v>22</v>
      </c>
      <c r="B334" s="15" t="s">
        <v>23</v>
      </c>
      <c r="C334" s="28" t="s">
        <v>380</v>
      </c>
      <c r="D334" s="29">
        <f>MAX($D$8:D333)+1</f>
        <v>311</v>
      </c>
      <c r="E334" s="120" t="s">
        <v>381</v>
      </c>
      <c r="F334" s="121" t="s">
        <v>382</v>
      </c>
      <c r="G334" s="32">
        <v>3.66</v>
      </c>
      <c r="H334" s="32"/>
      <c r="I334" s="34">
        <v>0.5</v>
      </c>
      <c r="J334" s="34">
        <f t="shared" si="31"/>
        <v>4.16</v>
      </c>
      <c r="K334" s="32">
        <v>3.66</v>
      </c>
      <c r="L334" s="32"/>
      <c r="M334" s="34">
        <v>0.5</v>
      </c>
      <c r="N334" s="34">
        <f t="shared" si="31"/>
        <v>4.16</v>
      </c>
      <c r="O334" s="32">
        <v>3.66</v>
      </c>
      <c r="P334" s="32"/>
      <c r="Q334" s="34">
        <v>0.5</v>
      </c>
      <c r="R334" s="34">
        <f t="shared" si="32"/>
        <v>4.16</v>
      </c>
      <c r="S334" s="35" t="s">
        <v>27</v>
      </c>
      <c r="T334" s="34">
        <f t="shared" si="34"/>
        <v>0.3</v>
      </c>
      <c r="U334" s="35" t="s">
        <v>27</v>
      </c>
      <c r="V334" s="34">
        <f t="shared" si="35"/>
        <v>0.3</v>
      </c>
      <c r="W334" s="35" t="s">
        <v>27</v>
      </c>
      <c r="X334" s="34">
        <f t="shared" si="36"/>
        <v>0.3</v>
      </c>
      <c r="Y334" s="36">
        <f t="shared" si="33"/>
        <v>8760960</v>
      </c>
      <c r="Z334" s="37" t="s">
        <v>747</v>
      </c>
    </row>
    <row r="335" spans="1:26" ht="28.5" x14ac:dyDescent="0.25">
      <c r="A335" s="1" t="s">
        <v>22</v>
      </c>
      <c r="B335" s="15" t="s">
        <v>23</v>
      </c>
      <c r="C335" s="28" t="s">
        <v>380</v>
      </c>
      <c r="D335" s="29">
        <f>MAX($D$8:D334)+1</f>
        <v>312</v>
      </c>
      <c r="E335" s="120" t="s">
        <v>383</v>
      </c>
      <c r="F335" s="121" t="s">
        <v>384</v>
      </c>
      <c r="G335" s="32">
        <v>3.66</v>
      </c>
      <c r="H335" s="32"/>
      <c r="I335" s="34">
        <v>0.5</v>
      </c>
      <c r="J335" s="34">
        <f t="shared" si="31"/>
        <v>4.16</v>
      </c>
      <c r="K335" s="32">
        <v>3.66</v>
      </c>
      <c r="L335" s="32"/>
      <c r="M335" s="34">
        <v>0.5</v>
      </c>
      <c r="N335" s="34">
        <f t="shared" si="31"/>
        <v>4.16</v>
      </c>
      <c r="O335" s="32">
        <v>3.66</v>
      </c>
      <c r="P335" s="32"/>
      <c r="Q335" s="34">
        <v>0.5</v>
      </c>
      <c r="R335" s="34">
        <f t="shared" si="32"/>
        <v>4.16</v>
      </c>
      <c r="S335" s="35" t="s">
        <v>27</v>
      </c>
      <c r="T335" s="34">
        <f t="shared" si="34"/>
        <v>0.3</v>
      </c>
      <c r="U335" s="35" t="s">
        <v>27</v>
      </c>
      <c r="V335" s="34">
        <f t="shared" si="35"/>
        <v>0.3</v>
      </c>
      <c r="W335" s="35" t="s">
        <v>27</v>
      </c>
      <c r="X335" s="34">
        <f t="shared" si="36"/>
        <v>0.3</v>
      </c>
      <c r="Y335" s="36">
        <f t="shared" si="33"/>
        <v>8760960</v>
      </c>
      <c r="Z335" s="37" t="s">
        <v>748</v>
      </c>
    </row>
    <row r="336" spans="1:26" ht="28.5" x14ac:dyDescent="0.25">
      <c r="A336" s="1" t="s">
        <v>22</v>
      </c>
      <c r="B336" s="15" t="s">
        <v>23</v>
      </c>
      <c r="C336" s="28" t="s">
        <v>380</v>
      </c>
      <c r="D336" s="29">
        <f>MAX($D$8:D335)+1</f>
        <v>313</v>
      </c>
      <c r="E336" s="120" t="s">
        <v>385</v>
      </c>
      <c r="F336" s="121" t="s">
        <v>386</v>
      </c>
      <c r="G336" s="32">
        <v>3.99</v>
      </c>
      <c r="H336" s="32"/>
      <c r="I336" s="32"/>
      <c r="J336" s="34">
        <f t="shared" si="31"/>
        <v>3.99</v>
      </c>
      <c r="K336" s="32">
        <v>3.99</v>
      </c>
      <c r="L336" s="32"/>
      <c r="M336" s="32"/>
      <c r="N336" s="34">
        <f t="shared" si="31"/>
        <v>3.99</v>
      </c>
      <c r="O336" s="32">
        <v>3.99</v>
      </c>
      <c r="P336" s="32"/>
      <c r="Q336" s="32"/>
      <c r="R336" s="34">
        <f t="shared" si="32"/>
        <v>3.99</v>
      </c>
      <c r="S336" s="35" t="s">
        <v>27</v>
      </c>
      <c r="T336" s="34">
        <f t="shared" si="34"/>
        <v>0.3</v>
      </c>
      <c r="U336" s="35" t="s">
        <v>27</v>
      </c>
      <c r="V336" s="34">
        <f t="shared" si="35"/>
        <v>0.3</v>
      </c>
      <c r="W336" s="35" t="s">
        <v>27</v>
      </c>
      <c r="X336" s="34">
        <f t="shared" si="36"/>
        <v>0.3</v>
      </c>
      <c r="Y336" s="36">
        <f t="shared" si="33"/>
        <v>8402940</v>
      </c>
      <c r="Z336" s="37" t="s">
        <v>749</v>
      </c>
    </row>
    <row r="337" spans="1:26" ht="28.5" x14ac:dyDescent="0.25">
      <c r="A337" s="1" t="s">
        <v>22</v>
      </c>
      <c r="B337" s="15" t="s">
        <v>23</v>
      </c>
      <c r="C337" s="28" t="s">
        <v>380</v>
      </c>
      <c r="D337" s="29">
        <f>MAX($D$8:D336)+1</f>
        <v>314</v>
      </c>
      <c r="E337" s="120" t="s">
        <v>387</v>
      </c>
      <c r="F337" s="121" t="s">
        <v>388</v>
      </c>
      <c r="G337" s="32">
        <v>3.96</v>
      </c>
      <c r="H337" s="32"/>
      <c r="I337" s="32"/>
      <c r="J337" s="34">
        <f t="shared" si="31"/>
        <v>3.96</v>
      </c>
      <c r="K337" s="32">
        <v>3.96</v>
      </c>
      <c r="L337" s="32"/>
      <c r="M337" s="32"/>
      <c r="N337" s="34">
        <f t="shared" si="31"/>
        <v>3.96</v>
      </c>
      <c r="O337" s="32">
        <v>3.96</v>
      </c>
      <c r="P337" s="32"/>
      <c r="Q337" s="32"/>
      <c r="R337" s="34">
        <f t="shared" si="32"/>
        <v>3.96</v>
      </c>
      <c r="S337" s="35" t="s">
        <v>27</v>
      </c>
      <c r="T337" s="34">
        <f t="shared" si="34"/>
        <v>0.3</v>
      </c>
      <c r="U337" s="35" t="s">
        <v>27</v>
      </c>
      <c r="V337" s="34">
        <f t="shared" si="35"/>
        <v>0.3</v>
      </c>
      <c r="W337" s="35" t="s">
        <v>27</v>
      </c>
      <c r="X337" s="34">
        <f t="shared" si="36"/>
        <v>0.3</v>
      </c>
      <c r="Y337" s="36">
        <f t="shared" si="33"/>
        <v>8339760</v>
      </c>
      <c r="Z337" s="37" t="s">
        <v>750</v>
      </c>
    </row>
    <row r="338" spans="1:26" ht="28.5" x14ac:dyDescent="0.25">
      <c r="A338" s="1" t="s">
        <v>22</v>
      </c>
      <c r="B338" s="15" t="s">
        <v>23</v>
      </c>
      <c r="C338" s="28" t="s">
        <v>380</v>
      </c>
      <c r="D338" s="29">
        <f>MAX($D$8:D337)+1</f>
        <v>315</v>
      </c>
      <c r="E338" s="120" t="s">
        <v>389</v>
      </c>
      <c r="F338" s="121" t="s">
        <v>390</v>
      </c>
      <c r="G338" s="32">
        <v>3.66</v>
      </c>
      <c r="H338" s="32"/>
      <c r="I338" s="32"/>
      <c r="J338" s="34">
        <f t="shared" si="31"/>
        <v>3.66</v>
      </c>
      <c r="K338" s="32">
        <v>3.66</v>
      </c>
      <c r="L338" s="32"/>
      <c r="M338" s="32"/>
      <c r="N338" s="34">
        <f t="shared" si="31"/>
        <v>3.66</v>
      </c>
      <c r="O338" s="32">
        <v>3.66</v>
      </c>
      <c r="P338" s="32"/>
      <c r="Q338" s="32"/>
      <c r="R338" s="34">
        <f t="shared" si="32"/>
        <v>3.66</v>
      </c>
      <c r="S338" s="35" t="s">
        <v>27</v>
      </c>
      <c r="T338" s="34">
        <f t="shared" si="34"/>
        <v>0.3</v>
      </c>
      <c r="U338" s="35" t="s">
        <v>27</v>
      </c>
      <c r="V338" s="34">
        <f t="shared" si="35"/>
        <v>0.3</v>
      </c>
      <c r="W338" s="35" t="s">
        <v>27</v>
      </c>
      <c r="X338" s="34">
        <f t="shared" si="36"/>
        <v>0.3</v>
      </c>
      <c r="Y338" s="36">
        <f t="shared" si="33"/>
        <v>7707960.0000000009</v>
      </c>
      <c r="Z338" s="37" t="s">
        <v>751</v>
      </c>
    </row>
    <row r="339" spans="1:26" ht="28.5" x14ac:dyDescent="0.25">
      <c r="A339" s="1" t="s">
        <v>22</v>
      </c>
      <c r="B339" s="15" t="s">
        <v>23</v>
      </c>
      <c r="C339" s="28" t="s">
        <v>380</v>
      </c>
      <c r="D339" s="29">
        <f>MAX($D$8:D338)+1</f>
        <v>316</v>
      </c>
      <c r="E339" s="122" t="s">
        <v>391</v>
      </c>
      <c r="F339" s="121" t="s">
        <v>392</v>
      </c>
      <c r="G339" s="61">
        <v>3.66</v>
      </c>
      <c r="H339" s="61"/>
      <c r="I339" s="61"/>
      <c r="J339" s="34">
        <f t="shared" si="31"/>
        <v>3.66</v>
      </c>
      <c r="K339" s="32">
        <v>3.66</v>
      </c>
      <c r="L339" s="32"/>
      <c r="M339" s="32"/>
      <c r="N339" s="34">
        <f t="shared" si="31"/>
        <v>3.66</v>
      </c>
      <c r="O339" s="32">
        <v>3.66</v>
      </c>
      <c r="P339" s="32"/>
      <c r="Q339" s="32"/>
      <c r="R339" s="34">
        <f t="shared" si="32"/>
        <v>3.66</v>
      </c>
      <c r="S339" s="35" t="s">
        <v>27</v>
      </c>
      <c r="T339" s="34">
        <f t="shared" si="34"/>
        <v>0.3</v>
      </c>
      <c r="U339" s="35" t="s">
        <v>27</v>
      </c>
      <c r="V339" s="34">
        <f t="shared" si="35"/>
        <v>0.3</v>
      </c>
      <c r="W339" s="35" t="s">
        <v>27</v>
      </c>
      <c r="X339" s="34">
        <f t="shared" si="36"/>
        <v>0.3</v>
      </c>
      <c r="Y339" s="36">
        <f t="shared" si="33"/>
        <v>7707960.0000000009</v>
      </c>
      <c r="Z339" s="37" t="s">
        <v>752</v>
      </c>
    </row>
    <row r="340" spans="1:26" ht="28.5" x14ac:dyDescent="0.25">
      <c r="A340" s="1" t="s">
        <v>22</v>
      </c>
      <c r="B340" s="15" t="s">
        <v>23</v>
      </c>
      <c r="C340" s="28" t="s">
        <v>380</v>
      </c>
      <c r="D340" s="29">
        <f>MAX($D$8:D339)+1</f>
        <v>317</v>
      </c>
      <c r="E340" s="122" t="s">
        <v>393</v>
      </c>
      <c r="F340" s="121" t="s">
        <v>394</v>
      </c>
      <c r="G340" s="32">
        <v>2.34</v>
      </c>
      <c r="H340" s="32"/>
      <c r="I340" s="32"/>
      <c r="J340" s="34">
        <f t="shared" si="31"/>
        <v>2.34</v>
      </c>
      <c r="K340" s="32">
        <v>2.34</v>
      </c>
      <c r="L340" s="32"/>
      <c r="M340" s="32"/>
      <c r="N340" s="34">
        <f t="shared" si="31"/>
        <v>2.34</v>
      </c>
      <c r="O340" s="32">
        <v>2.34</v>
      </c>
      <c r="P340" s="32"/>
      <c r="Q340" s="32"/>
      <c r="R340" s="34">
        <f t="shared" si="32"/>
        <v>2.34</v>
      </c>
      <c r="S340" s="35" t="s">
        <v>27</v>
      </c>
      <c r="T340" s="34">
        <f t="shared" si="34"/>
        <v>0.3</v>
      </c>
      <c r="U340" s="35" t="s">
        <v>27</v>
      </c>
      <c r="V340" s="34">
        <f t="shared" si="35"/>
        <v>0.3</v>
      </c>
      <c r="W340" s="35" t="s">
        <v>27</v>
      </c>
      <c r="X340" s="34">
        <f t="shared" si="36"/>
        <v>0.3</v>
      </c>
      <c r="Y340" s="36">
        <f t="shared" si="33"/>
        <v>4928040</v>
      </c>
      <c r="Z340" s="37" t="s">
        <v>753</v>
      </c>
    </row>
    <row r="341" spans="1:26" ht="28.5" x14ac:dyDescent="0.25">
      <c r="A341" s="1" t="s">
        <v>22</v>
      </c>
      <c r="B341" s="15" t="s">
        <v>23</v>
      </c>
      <c r="C341" s="28" t="s">
        <v>369</v>
      </c>
      <c r="D341" s="29">
        <f>MAX($D$8:D340)+1</f>
        <v>318</v>
      </c>
      <c r="E341" s="46" t="s">
        <v>395</v>
      </c>
      <c r="F341" s="57">
        <v>8847397845</v>
      </c>
      <c r="G341" s="56">
        <v>3.99</v>
      </c>
      <c r="H341" s="56"/>
      <c r="I341" s="56"/>
      <c r="J341" s="34">
        <f t="shared" si="31"/>
        <v>3.99</v>
      </c>
      <c r="K341" s="56">
        <v>3.99</v>
      </c>
      <c r="L341" s="56"/>
      <c r="M341" s="56"/>
      <c r="N341" s="34">
        <f t="shared" si="31"/>
        <v>3.99</v>
      </c>
      <c r="O341" s="56">
        <v>3.99</v>
      </c>
      <c r="P341" s="56"/>
      <c r="Q341" s="56"/>
      <c r="R341" s="34">
        <f t="shared" si="32"/>
        <v>3.99</v>
      </c>
      <c r="S341" s="35" t="s">
        <v>27</v>
      </c>
      <c r="T341" s="34">
        <f t="shared" si="34"/>
        <v>0.3</v>
      </c>
      <c r="U341" s="35" t="s">
        <v>27</v>
      </c>
      <c r="V341" s="34">
        <f t="shared" si="35"/>
        <v>0.3</v>
      </c>
      <c r="W341" s="35" t="s">
        <v>27</v>
      </c>
      <c r="X341" s="34">
        <f t="shared" si="36"/>
        <v>0.3</v>
      </c>
      <c r="Y341" s="36">
        <f t="shared" si="33"/>
        <v>8402940</v>
      </c>
      <c r="Z341" s="37" t="s">
        <v>754</v>
      </c>
    </row>
    <row r="342" spans="1:26" ht="28.5" x14ac:dyDescent="0.25">
      <c r="A342" s="1" t="s">
        <v>22</v>
      </c>
      <c r="B342" s="15" t="s">
        <v>23</v>
      </c>
      <c r="C342" s="28" t="s">
        <v>375</v>
      </c>
      <c r="D342" s="29">
        <f>MAX($D$8:D341)+1</f>
        <v>319</v>
      </c>
      <c r="E342" s="46" t="s">
        <v>396</v>
      </c>
      <c r="F342" s="123" t="s">
        <v>397</v>
      </c>
      <c r="G342" s="58">
        <v>3.99</v>
      </c>
      <c r="H342" s="58"/>
      <c r="I342" s="58"/>
      <c r="J342" s="34">
        <f t="shared" si="31"/>
        <v>3.99</v>
      </c>
      <c r="K342" s="58">
        <v>3.99</v>
      </c>
      <c r="L342" s="58"/>
      <c r="M342" s="58"/>
      <c r="N342" s="34">
        <f t="shared" si="31"/>
        <v>3.99</v>
      </c>
      <c r="O342" s="58">
        <v>3.99</v>
      </c>
      <c r="P342" s="58"/>
      <c r="Q342" s="58"/>
      <c r="R342" s="34">
        <f t="shared" si="32"/>
        <v>3.99</v>
      </c>
      <c r="S342" s="35" t="s">
        <v>27</v>
      </c>
      <c r="T342" s="34">
        <f t="shared" si="34"/>
        <v>0.3</v>
      </c>
      <c r="U342" s="35" t="s">
        <v>27</v>
      </c>
      <c r="V342" s="34">
        <f t="shared" si="35"/>
        <v>0.3</v>
      </c>
      <c r="W342" s="35" t="s">
        <v>27</v>
      </c>
      <c r="X342" s="34">
        <f t="shared" si="36"/>
        <v>0.3</v>
      </c>
      <c r="Y342" s="36">
        <f t="shared" si="33"/>
        <v>8402940</v>
      </c>
      <c r="Z342" s="37" t="s">
        <v>755</v>
      </c>
    </row>
    <row r="343" spans="1:26" ht="28.5" x14ac:dyDescent="0.25">
      <c r="A343" s="1" t="s">
        <v>22</v>
      </c>
      <c r="B343" s="15" t="s">
        <v>23</v>
      </c>
      <c r="C343" s="28" t="s">
        <v>369</v>
      </c>
      <c r="D343" s="29">
        <f>MAX($D$8:D342)+1</f>
        <v>320</v>
      </c>
      <c r="E343" s="46" t="s">
        <v>398</v>
      </c>
      <c r="F343" s="59">
        <v>8897399144</v>
      </c>
      <c r="G343" s="56">
        <v>3.66</v>
      </c>
      <c r="H343" s="56"/>
      <c r="I343" s="56"/>
      <c r="J343" s="34">
        <f t="shared" si="31"/>
        <v>3.66</v>
      </c>
      <c r="K343" s="56">
        <v>3.66</v>
      </c>
      <c r="L343" s="56"/>
      <c r="M343" s="56"/>
      <c r="N343" s="34">
        <f t="shared" si="31"/>
        <v>3.66</v>
      </c>
      <c r="O343" s="56">
        <v>3.66</v>
      </c>
      <c r="P343" s="56"/>
      <c r="Q343" s="56"/>
      <c r="R343" s="34">
        <f t="shared" si="32"/>
        <v>3.66</v>
      </c>
      <c r="S343" s="35" t="s">
        <v>27</v>
      </c>
      <c r="T343" s="34">
        <f t="shared" si="34"/>
        <v>0.3</v>
      </c>
      <c r="U343" s="35" t="s">
        <v>27</v>
      </c>
      <c r="V343" s="34">
        <f t="shared" si="35"/>
        <v>0.3</v>
      </c>
      <c r="W343" s="35" t="s">
        <v>27</v>
      </c>
      <c r="X343" s="34">
        <f t="shared" si="36"/>
        <v>0.3</v>
      </c>
      <c r="Y343" s="36">
        <f t="shared" si="33"/>
        <v>7707960.0000000009</v>
      </c>
      <c r="Z343" s="37" t="s">
        <v>756</v>
      </c>
    </row>
    <row r="344" spans="1:26" ht="28.5" x14ac:dyDescent="0.25">
      <c r="A344" s="1" t="s">
        <v>22</v>
      </c>
      <c r="B344" s="15" t="s">
        <v>23</v>
      </c>
      <c r="C344" s="28" t="s">
        <v>369</v>
      </c>
      <c r="D344" s="29">
        <f>MAX($D$8:D343)+1</f>
        <v>321</v>
      </c>
      <c r="E344" s="46" t="s">
        <v>399</v>
      </c>
      <c r="F344" s="55">
        <v>8807399273</v>
      </c>
      <c r="G344" s="56">
        <v>2.67</v>
      </c>
      <c r="H344" s="56"/>
      <c r="I344" s="56"/>
      <c r="J344" s="34">
        <f t="shared" si="31"/>
        <v>2.67</v>
      </c>
      <c r="K344" s="56">
        <v>2.67</v>
      </c>
      <c r="L344" s="56"/>
      <c r="M344" s="56"/>
      <c r="N344" s="34">
        <f t="shared" si="31"/>
        <v>2.67</v>
      </c>
      <c r="O344" s="56">
        <v>2.67</v>
      </c>
      <c r="P344" s="56"/>
      <c r="Q344" s="56"/>
      <c r="R344" s="34">
        <f t="shared" si="32"/>
        <v>2.67</v>
      </c>
      <c r="S344" s="35" t="s">
        <v>27</v>
      </c>
      <c r="T344" s="34">
        <f t="shared" si="34"/>
        <v>0.3</v>
      </c>
      <c r="U344" s="35" t="s">
        <v>27</v>
      </c>
      <c r="V344" s="34">
        <f t="shared" si="35"/>
        <v>0.3</v>
      </c>
      <c r="W344" s="35" t="s">
        <v>27</v>
      </c>
      <c r="X344" s="34">
        <f t="shared" si="36"/>
        <v>0.3</v>
      </c>
      <c r="Y344" s="36">
        <f t="shared" si="33"/>
        <v>5623019.9999999991</v>
      </c>
      <c r="Z344" s="37" t="s">
        <v>757</v>
      </c>
    </row>
    <row r="345" spans="1:26" ht="28.5" x14ac:dyDescent="0.25">
      <c r="A345" s="1" t="s">
        <v>22</v>
      </c>
      <c r="B345" s="15" t="s">
        <v>23</v>
      </c>
      <c r="C345" s="28" t="s">
        <v>375</v>
      </c>
      <c r="D345" s="29">
        <f>MAX($D$8:D344)+1</f>
        <v>322</v>
      </c>
      <c r="E345" s="60" t="s">
        <v>400</v>
      </c>
      <c r="F345" s="57" t="s">
        <v>401</v>
      </c>
      <c r="G345" s="56">
        <v>2.67</v>
      </c>
      <c r="H345" s="56"/>
      <c r="I345" s="56"/>
      <c r="J345" s="34">
        <f t="shared" si="31"/>
        <v>2.67</v>
      </c>
      <c r="K345" s="56">
        <v>2.67</v>
      </c>
      <c r="L345" s="56"/>
      <c r="M345" s="56"/>
      <c r="N345" s="34">
        <f t="shared" si="31"/>
        <v>2.67</v>
      </c>
      <c r="O345" s="56">
        <v>2.67</v>
      </c>
      <c r="P345" s="56"/>
      <c r="Q345" s="56"/>
      <c r="R345" s="34">
        <f t="shared" si="32"/>
        <v>2.67</v>
      </c>
      <c r="S345" s="35" t="s">
        <v>27</v>
      </c>
      <c r="T345" s="34">
        <f t="shared" si="34"/>
        <v>0.3</v>
      </c>
      <c r="U345" s="35" t="s">
        <v>27</v>
      </c>
      <c r="V345" s="34">
        <f t="shared" si="35"/>
        <v>0.3</v>
      </c>
      <c r="W345" s="35" t="s">
        <v>27</v>
      </c>
      <c r="X345" s="34">
        <f t="shared" si="36"/>
        <v>0.3</v>
      </c>
      <c r="Y345" s="36">
        <f t="shared" si="33"/>
        <v>5623019.9999999991</v>
      </c>
      <c r="Z345" s="37" t="s">
        <v>758</v>
      </c>
    </row>
    <row r="346" spans="1:26" ht="28.5" x14ac:dyDescent="0.25">
      <c r="A346" s="1" t="s">
        <v>22</v>
      </c>
      <c r="B346" s="15" t="s">
        <v>23</v>
      </c>
      <c r="C346" s="28" t="s">
        <v>375</v>
      </c>
      <c r="D346" s="29">
        <f>MAX($D$8:D345)+1</f>
        <v>323</v>
      </c>
      <c r="E346" s="60" t="s">
        <v>402</v>
      </c>
      <c r="F346" s="55">
        <v>8817396309</v>
      </c>
      <c r="G346" s="56">
        <v>2.67</v>
      </c>
      <c r="H346" s="56"/>
      <c r="I346" s="56"/>
      <c r="J346" s="34">
        <f t="shared" si="31"/>
        <v>2.67</v>
      </c>
      <c r="K346" s="56">
        <v>2.67</v>
      </c>
      <c r="L346" s="56"/>
      <c r="M346" s="56"/>
      <c r="N346" s="34">
        <f t="shared" si="31"/>
        <v>2.67</v>
      </c>
      <c r="O346" s="56">
        <v>2.67</v>
      </c>
      <c r="P346" s="56"/>
      <c r="Q346" s="56"/>
      <c r="R346" s="34">
        <f t="shared" si="32"/>
        <v>2.67</v>
      </c>
      <c r="S346" s="35" t="s">
        <v>27</v>
      </c>
      <c r="T346" s="34">
        <f t="shared" si="34"/>
        <v>0.3</v>
      </c>
      <c r="U346" s="35" t="s">
        <v>27</v>
      </c>
      <c r="V346" s="34">
        <f t="shared" si="35"/>
        <v>0.3</v>
      </c>
      <c r="W346" s="35" t="s">
        <v>27</v>
      </c>
      <c r="X346" s="34">
        <f t="shared" si="36"/>
        <v>0.3</v>
      </c>
      <c r="Y346" s="36">
        <f t="shared" si="33"/>
        <v>5623019.9999999991</v>
      </c>
      <c r="Z346" s="37" t="s">
        <v>759</v>
      </c>
    </row>
    <row r="347" spans="1:26" ht="28.5" x14ac:dyDescent="0.25">
      <c r="A347" s="1" t="s">
        <v>22</v>
      </c>
      <c r="B347" s="15" t="s">
        <v>23</v>
      </c>
      <c r="C347" s="28" t="s">
        <v>351</v>
      </c>
      <c r="D347" s="29">
        <f>MAX($D$8:D346)+1</f>
        <v>324</v>
      </c>
      <c r="E347" s="45" t="s">
        <v>403</v>
      </c>
      <c r="F347" s="31">
        <v>5611333221</v>
      </c>
      <c r="G347" s="32">
        <v>3.66</v>
      </c>
      <c r="H347" s="32"/>
      <c r="I347" s="32"/>
      <c r="J347" s="34">
        <f t="shared" si="31"/>
        <v>3.66</v>
      </c>
      <c r="K347" s="32">
        <v>3.66</v>
      </c>
      <c r="L347" s="32"/>
      <c r="M347" s="32"/>
      <c r="N347" s="34">
        <f t="shared" si="31"/>
        <v>3.66</v>
      </c>
      <c r="O347" s="32">
        <v>3.66</v>
      </c>
      <c r="P347" s="32"/>
      <c r="Q347" s="32"/>
      <c r="R347" s="34">
        <f t="shared" si="32"/>
        <v>3.66</v>
      </c>
      <c r="S347" s="35" t="s">
        <v>27</v>
      </c>
      <c r="T347" s="34">
        <f t="shared" si="34"/>
        <v>0.3</v>
      </c>
      <c r="U347" s="35" t="s">
        <v>27</v>
      </c>
      <c r="V347" s="34">
        <f t="shared" si="35"/>
        <v>0.3</v>
      </c>
      <c r="W347" s="35" t="s">
        <v>27</v>
      </c>
      <c r="X347" s="34">
        <f t="shared" si="36"/>
        <v>0.3</v>
      </c>
      <c r="Y347" s="36">
        <f t="shared" si="33"/>
        <v>7707960.0000000009</v>
      </c>
      <c r="Z347" s="37" t="s">
        <v>760</v>
      </c>
    </row>
    <row r="348" spans="1:26" ht="28.5" x14ac:dyDescent="0.25">
      <c r="A348" s="1" t="s">
        <v>22</v>
      </c>
      <c r="B348" s="15" t="s">
        <v>23</v>
      </c>
      <c r="C348" s="28" t="s">
        <v>351</v>
      </c>
      <c r="D348" s="29">
        <f>MAX($D$8:D347)+1</f>
        <v>325</v>
      </c>
      <c r="E348" s="49" t="s">
        <v>404</v>
      </c>
      <c r="F348" s="31">
        <v>5610143728</v>
      </c>
      <c r="G348" s="32">
        <v>3.66</v>
      </c>
      <c r="H348" s="32"/>
      <c r="I348" s="32"/>
      <c r="J348" s="34">
        <f t="shared" si="31"/>
        <v>3.66</v>
      </c>
      <c r="K348" s="32">
        <v>3.66</v>
      </c>
      <c r="L348" s="32"/>
      <c r="M348" s="32"/>
      <c r="N348" s="34">
        <f t="shared" si="31"/>
        <v>3.66</v>
      </c>
      <c r="O348" s="32">
        <v>3.66</v>
      </c>
      <c r="P348" s="32"/>
      <c r="Q348" s="32"/>
      <c r="R348" s="34">
        <f t="shared" si="32"/>
        <v>3.66</v>
      </c>
      <c r="S348" s="35" t="s">
        <v>27</v>
      </c>
      <c r="T348" s="34">
        <f t="shared" si="34"/>
        <v>0.3</v>
      </c>
      <c r="U348" s="35" t="s">
        <v>27</v>
      </c>
      <c r="V348" s="34">
        <f t="shared" si="35"/>
        <v>0.3</v>
      </c>
      <c r="W348" s="35" t="s">
        <v>27</v>
      </c>
      <c r="X348" s="34">
        <f t="shared" si="36"/>
        <v>0.3</v>
      </c>
      <c r="Y348" s="36">
        <f t="shared" si="33"/>
        <v>7707960.0000000009</v>
      </c>
      <c r="Z348" s="37" t="s">
        <v>761</v>
      </c>
    </row>
    <row r="349" spans="1:26" ht="28.5" x14ac:dyDescent="0.25">
      <c r="A349" s="1" t="s">
        <v>22</v>
      </c>
      <c r="B349" s="15" t="s">
        <v>23</v>
      </c>
      <c r="C349" s="28" t="s">
        <v>351</v>
      </c>
      <c r="D349" s="29">
        <f>MAX($D$8:D348)+1</f>
        <v>326</v>
      </c>
      <c r="E349" s="45" t="s">
        <v>405</v>
      </c>
      <c r="F349" s="31">
        <v>5611150183</v>
      </c>
      <c r="G349" s="32">
        <v>3.65</v>
      </c>
      <c r="H349" s="32"/>
      <c r="I349" s="32"/>
      <c r="J349" s="34">
        <f t="shared" si="31"/>
        <v>3.65</v>
      </c>
      <c r="K349" s="32">
        <v>3.65</v>
      </c>
      <c r="L349" s="32"/>
      <c r="M349" s="32"/>
      <c r="N349" s="34">
        <f t="shared" si="31"/>
        <v>3.65</v>
      </c>
      <c r="O349" s="32">
        <v>3.65</v>
      </c>
      <c r="P349" s="32"/>
      <c r="Q349" s="32"/>
      <c r="R349" s="34">
        <f t="shared" si="32"/>
        <v>3.65</v>
      </c>
      <c r="S349" s="35" t="s">
        <v>27</v>
      </c>
      <c r="T349" s="34">
        <f t="shared" si="34"/>
        <v>0.3</v>
      </c>
      <c r="U349" s="35" t="s">
        <v>27</v>
      </c>
      <c r="V349" s="34">
        <f t="shared" si="35"/>
        <v>0.3</v>
      </c>
      <c r="W349" s="35" t="s">
        <v>27</v>
      </c>
      <c r="X349" s="34">
        <f t="shared" si="36"/>
        <v>0.3</v>
      </c>
      <c r="Y349" s="36">
        <f t="shared" si="33"/>
        <v>7686900</v>
      </c>
      <c r="Z349" s="37" t="s">
        <v>762</v>
      </c>
    </row>
    <row r="350" spans="1:26" ht="28.5" x14ac:dyDescent="0.25">
      <c r="A350" s="1" t="s">
        <v>22</v>
      </c>
      <c r="B350" s="15" t="s">
        <v>23</v>
      </c>
      <c r="C350" s="28" t="s">
        <v>351</v>
      </c>
      <c r="D350" s="29">
        <f>MAX($D$8:D349)+1</f>
        <v>327</v>
      </c>
      <c r="E350" s="49" t="s">
        <v>406</v>
      </c>
      <c r="F350" s="31">
        <v>5611150165</v>
      </c>
      <c r="G350" s="32">
        <v>3.66</v>
      </c>
      <c r="H350" s="32"/>
      <c r="I350" s="32"/>
      <c r="J350" s="34">
        <f t="shared" si="31"/>
        <v>3.66</v>
      </c>
      <c r="K350" s="32">
        <v>3.66</v>
      </c>
      <c r="L350" s="32"/>
      <c r="M350" s="32"/>
      <c r="N350" s="34">
        <f t="shared" si="31"/>
        <v>3.66</v>
      </c>
      <c r="O350" s="32">
        <v>3.66</v>
      </c>
      <c r="P350" s="32"/>
      <c r="Q350" s="32"/>
      <c r="R350" s="34">
        <f t="shared" si="32"/>
        <v>3.66</v>
      </c>
      <c r="S350" s="35" t="s">
        <v>27</v>
      </c>
      <c r="T350" s="34">
        <f t="shared" si="34"/>
        <v>0.3</v>
      </c>
      <c r="U350" s="35" t="s">
        <v>27</v>
      </c>
      <c r="V350" s="34">
        <f t="shared" si="35"/>
        <v>0.3</v>
      </c>
      <c r="W350" s="35" t="s">
        <v>27</v>
      </c>
      <c r="X350" s="34">
        <f t="shared" si="36"/>
        <v>0.3</v>
      </c>
      <c r="Y350" s="36">
        <f t="shared" si="33"/>
        <v>7707960.0000000009</v>
      </c>
      <c r="Z350" s="37" t="s">
        <v>763</v>
      </c>
    </row>
    <row r="351" spans="1:26" ht="28.5" x14ac:dyDescent="0.25">
      <c r="A351" s="1" t="s">
        <v>22</v>
      </c>
      <c r="B351" s="15" t="s">
        <v>23</v>
      </c>
      <c r="C351" s="28" t="s">
        <v>351</v>
      </c>
      <c r="D351" s="29">
        <f>MAX($D$8:D350)+1</f>
        <v>328</v>
      </c>
      <c r="E351" s="49" t="s">
        <v>407</v>
      </c>
      <c r="F351" s="31">
        <v>5611150156</v>
      </c>
      <c r="G351" s="32">
        <v>3.65</v>
      </c>
      <c r="H351" s="32"/>
      <c r="I351" s="32"/>
      <c r="J351" s="34">
        <f t="shared" si="31"/>
        <v>3.65</v>
      </c>
      <c r="K351" s="32">
        <v>3.65</v>
      </c>
      <c r="L351" s="32"/>
      <c r="M351" s="32"/>
      <c r="N351" s="34">
        <f t="shared" si="31"/>
        <v>3.65</v>
      </c>
      <c r="O351" s="32">
        <v>3.65</v>
      </c>
      <c r="P351" s="32"/>
      <c r="Q351" s="32"/>
      <c r="R351" s="34">
        <f t="shared" si="32"/>
        <v>3.65</v>
      </c>
      <c r="S351" s="35" t="s">
        <v>27</v>
      </c>
      <c r="T351" s="34">
        <f t="shared" si="34"/>
        <v>0.3</v>
      </c>
      <c r="U351" s="35" t="s">
        <v>27</v>
      </c>
      <c r="V351" s="34">
        <f t="shared" si="35"/>
        <v>0.3</v>
      </c>
      <c r="W351" s="35" t="s">
        <v>27</v>
      </c>
      <c r="X351" s="34">
        <f t="shared" si="36"/>
        <v>0.3</v>
      </c>
      <c r="Y351" s="36">
        <f t="shared" si="33"/>
        <v>7686900</v>
      </c>
      <c r="Z351" s="37" t="s">
        <v>764</v>
      </c>
    </row>
    <row r="352" spans="1:26" ht="28.5" x14ac:dyDescent="0.25">
      <c r="A352" s="1" t="s">
        <v>22</v>
      </c>
      <c r="B352" s="15" t="s">
        <v>23</v>
      </c>
      <c r="C352" s="28" t="s">
        <v>351</v>
      </c>
      <c r="D352" s="29">
        <f>MAX($D$8:D351)+1</f>
        <v>329</v>
      </c>
      <c r="E352" s="49" t="s">
        <v>408</v>
      </c>
      <c r="F352" s="31">
        <v>5611150147</v>
      </c>
      <c r="G352" s="32">
        <v>3.33</v>
      </c>
      <c r="H352" s="32"/>
      <c r="I352" s="32"/>
      <c r="J352" s="34">
        <f t="shared" si="31"/>
        <v>3.33</v>
      </c>
      <c r="K352" s="32">
        <v>3.33</v>
      </c>
      <c r="L352" s="32"/>
      <c r="M352" s="32"/>
      <c r="N352" s="34">
        <f t="shared" si="31"/>
        <v>3.33</v>
      </c>
      <c r="O352" s="32">
        <v>3.33</v>
      </c>
      <c r="P352" s="32"/>
      <c r="Q352" s="32"/>
      <c r="R352" s="34">
        <f t="shared" si="32"/>
        <v>3.33</v>
      </c>
      <c r="S352" s="35" t="s">
        <v>27</v>
      </c>
      <c r="T352" s="34">
        <f t="shared" si="34"/>
        <v>0.3</v>
      </c>
      <c r="U352" s="35" t="s">
        <v>27</v>
      </c>
      <c r="V352" s="34">
        <f t="shared" si="35"/>
        <v>0.3</v>
      </c>
      <c r="W352" s="35" t="s">
        <v>27</v>
      </c>
      <c r="X352" s="34">
        <f t="shared" si="36"/>
        <v>0.3</v>
      </c>
      <c r="Y352" s="36">
        <f t="shared" si="33"/>
        <v>7012980</v>
      </c>
      <c r="Z352" s="37" t="s">
        <v>765</v>
      </c>
    </row>
    <row r="353" spans="1:27" ht="28.5" x14ac:dyDescent="0.25">
      <c r="A353" s="1" t="s">
        <v>22</v>
      </c>
      <c r="B353" s="15" t="s">
        <v>23</v>
      </c>
      <c r="C353" s="28" t="s">
        <v>369</v>
      </c>
      <c r="D353" s="29">
        <f>MAX($D$8:D352)+1</f>
        <v>330</v>
      </c>
      <c r="E353" s="49" t="s">
        <v>409</v>
      </c>
      <c r="F353" s="31">
        <v>5611148425</v>
      </c>
      <c r="G353" s="32">
        <v>3.66</v>
      </c>
      <c r="H353" s="32"/>
      <c r="I353" s="32"/>
      <c r="J353" s="34">
        <f t="shared" si="31"/>
        <v>3.66</v>
      </c>
      <c r="K353" s="32">
        <v>3.66</v>
      </c>
      <c r="L353" s="32"/>
      <c r="M353" s="32"/>
      <c r="N353" s="34">
        <f t="shared" si="31"/>
        <v>3.66</v>
      </c>
      <c r="O353" s="32">
        <v>3.66</v>
      </c>
      <c r="P353" s="32"/>
      <c r="Q353" s="32"/>
      <c r="R353" s="34">
        <f t="shared" si="32"/>
        <v>3.66</v>
      </c>
      <c r="S353" s="35" t="s">
        <v>27</v>
      </c>
      <c r="T353" s="34">
        <f t="shared" si="34"/>
        <v>0.3</v>
      </c>
      <c r="U353" s="35" t="s">
        <v>27</v>
      </c>
      <c r="V353" s="34">
        <f t="shared" si="35"/>
        <v>0.3</v>
      </c>
      <c r="W353" s="35" t="s">
        <v>27</v>
      </c>
      <c r="X353" s="34">
        <f t="shared" si="36"/>
        <v>0.3</v>
      </c>
      <c r="Y353" s="36">
        <f t="shared" si="33"/>
        <v>7707960.0000000009</v>
      </c>
      <c r="Z353" s="37" t="s">
        <v>766</v>
      </c>
    </row>
    <row r="354" spans="1:27" ht="28.5" x14ac:dyDescent="0.25">
      <c r="A354" s="1" t="s">
        <v>22</v>
      </c>
      <c r="B354" s="15" t="s">
        <v>23</v>
      </c>
      <c r="C354" s="28" t="s">
        <v>369</v>
      </c>
      <c r="D354" s="29">
        <f>MAX($D$8:D353)+1</f>
        <v>331</v>
      </c>
      <c r="E354" s="49" t="s">
        <v>410</v>
      </c>
      <c r="F354" s="31">
        <v>5610577196</v>
      </c>
      <c r="G354" s="32">
        <v>3.66</v>
      </c>
      <c r="H354" s="32"/>
      <c r="I354" s="32"/>
      <c r="J354" s="34">
        <f t="shared" si="31"/>
        <v>3.66</v>
      </c>
      <c r="K354" s="32">
        <v>3.66</v>
      </c>
      <c r="L354" s="32"/>
      <c r="M354" s="32"/>
      <c r="N354" s="34">
        <f t="shared" si="31"/>
        <v>3.66</v>
      </c>
      <c r="O354" s="32">
        <v>3.66</v>
      </c>
      <c r="P354" s="32"/>
      <c r="Q354" s="32"/>
      <c r="R354" s="34">
        <f t="shared" si="32"/>
        <v>3.66</v>
      </c>
      <c r="S354" s="35" t="s">
        <v>27</v>
      </c>
      <c r="T354" s="34">
        <f t="shared" si="34"/>
        <v>0.3</v>
      </c>
      <c r="U354" s="35" t="s">
        <v>27</v>
      </c>
      <c r="V354" s="34">
        <f t="shared" si="35"/>
        <v>0.3</v>
      </c>
      <c r="W354" s="35" t="s">
        <v>27</v>
      </c>
      <c r="X354" s="34">
        <f t="shared" si="36"/>
        <v>0.3</v>
      </c>
      <c r="Y354" s="36">
        <f t="shared" si="33"/>
        <v>7707960.0000000009</v>
      </c>
      <c r="Z354" s="37" t="s">
        <v>767</v>
      </c>
    </row>
    <row r="355" spans="1:27" ht="28.5" x14ac:dyDescent="0.25">
      <c r="A355" s="1" t="s">
        <v>22</v>
      </c>
      <c r="B355" s="15" t="s">
        <v>23</v>
      </c>
      <c r="C355" s="28" t="s">
        <v>362</v>
      </c>
      <c r="D355" s="29">
        <f>MAX($D$8:D354)+1</f>
        <v>332</v>
      </c>
      <c r="E355" s="49" t="s">
        <v>411</v>
      </c>
      <c r="F355" s="31">
        <v>5611148160</v>
      </c>
      <c r="G355" s="32">
        <v>3.33</v>
      </c>
      <c r="H355" s="32"/>
      <c r="I355" s="32"/>
      <c r="J355" s="34">
        <f t="shared" si="31"/>
        <v>3.33</v>
      </c>
      <c r="K355" s="32">
        <v>3.33</v>
      </c>
      <c r="L355" s="32"/>
      <c r="M355" s="32"/>
      <c r="N355" s="34">
        <f t="shared" si="31"/>
        <v>3.33</v>
      </c>
      <c r="O355" s="32">
        <v>3.33</v>
      </c>
      <c r="P355" s="32"/>
      <c r="Q355" s="32"/>
      <c r="R355" s="34">
        <f t="shared" si="32"/>
        <v>3.33</v>
      </c>
      <c r="S355" s="35" t="s">
        <v>27</v>
      </c>
      <c r="T355" s="34">
        <f t="shared" si="34"/>
        <v>0.3</v>
      </c>
      <c r="U355" s="35" t="s">
        <v>27</v>
      </c>
      <c r="V355" s="34">
        <f t="shared" si="35"/>
        <v>0.3</v>
      </c>
      <c r="W355" s="35" t="s">
        <v>27</v>
      </c>
      <c r="X355" s="34">
        <f t="shared" si="36"/>
        <v>0.3</v>
      </c>
      <c r="Y355" s="36">
        <f t="shared" si="33"/>
        <v>7012980</v>
      </c>
      <c r="Z355" s="37" t="s">
        <v>768</v>
      </c>
    </row>
    <row r="356" spans="1:27" ht="28.5" x14ac:dyDescent="0.25">
      <c r="A356" s="1" t="s">
        <v>22</v>
      </c>
      <c r="B356" s="15" t="s">
        <v>23</v>
      </c>
      <c r="C356" s="28" t="s">
        <v>369</v>
      </c>
      <c r="D356" s="29">
        <f>MAX($D$8:D355)+1</f>
        <v>333</v>
      </c>
      <c r="E356" s="49" t="s">
        <v>412</v>
      </c>
      <c r="F356" s="31">
        <v>5610603107</v>
      </c>
      <c r="G356" s="32">
        <v>3.66</v>
      </c>
      <c r="H356" s="32"/>
      <c r="I356" s="32"/>
      <c r="J356" s="34">
        <f t="shared" si="31"/>
        <v>3.66</v>
      </c>
      <c r="K356" s="32">
        <v>3.66</v>
      </c>
      <c r="L356" s="32"/>
      <c r="M356" s="32"/>
      <c r="N356" s="34">
        <f t="shared" si="31"/>
        <v>3.66</v>
      </c>
      <c r="O356" s="32">
        <v>3.66</v>
      </c>
      <c r="P356" s="32"/>
      <c r="Q356" s="32"/>
      <c r="R356" s="34">
        <f t="shared" si="32"/>
        <v>3.66</v>
      </c>
      <c r="S356" s="35" t="s">
        <v>27</v>
      </c>
      <c r="T356" s="34">
        <f t="shared" si="34"/>
        <v>0.3</v>
      </c>
      <c r="U356" s="35" t="s">
        <v>27</v>
      </c>
      <c r="V356" s="34">
        <f t="shared" si="35"/>
        <v>0.3</v>
      </c>
      <c r="W356" s="35" t="s">
        <v>27</v>
      </c>
      <c r="X356" s="34">
        <f t="shared" si="36"/>
        <v>0.3</v>
      </c>
      <c r="Y356" s="36">
        <f t="shared" si="33"/>
        <v>7707960.0000000009</v>
      </c>
      <c r="Z356" s="37" t="s">
        <v>769</v>
      </c>
    </row>
    <row r="357" spans="1:27" ht="28.5" x14ac:dyDescent="0.25">
      <c r="A357" s="1" t="s">
        <v>22</v>
      </c>
      <c r="B357" s="15" t="s">
        <v>23</v>
      </c>
      <c r="C357" s="28" t="s">
        <v>362</v>
      </c>
      <c r="D357" s="29">
        <f>MAX($D$8:D356)+1</f>
        <v>334</v>
      </c>
      <c r="E357" s="45" t="s">
        <v>413</v>
      </c>
      <c r="F357" s="31">
        <v>5610703380</v>
      </c>
      <c r="G357" s="32">
        <v>3.33</v>
      </c>
      <c r="H357" s="32"/>
      <c r="I357" s="32"/>
      <c r="J357" s="34">
        <f t="shared" si="31"/>
        <v>3.33</v>
      </c>
      <c r="K357" s="32">
        <v>3.33</v>
      </c>
      <c r="L357" s="32"/>
      <c r="M357" s="32"/>
      <c r="N357" s="34">
        <f t="shared" si="31"/>
        <v>3.33</v>
      </c>
      <c r="O357" s="32">
        <v>3.33</v>
      </c>
      <c r="P357" s="32"/>
      <c r="Q357" s="32"/>
      <c r="R357" s="34">
        <f t="shared" si="32"/>
        <v>3.33</v>
      </c>
      <c r="S357" s="35" t="s">
        <v>27</v>
      </c>
      <c r="T357" s="34">
        <f t="shared" si="34"/>
        <v>0.3</v>
      </c>
      <c r="U357" s="35" t="s">
        <v>27</v>
      </c>
      <c r="V357" s="34">
        <f t="shared" si="35"/>
        <v>0.3</v>
      </c>
      <c r="W357" s="35" t="s">
        <v>27</v>
      </c>
      <c r="X357" s="34">
        <f t="shared" si="36"/>
        <v>0.3</v>
      </c>
      <c r="Y357" s="36">
        <f t="shared" si="33"/>
        <v>7012980</v>
      </c>
      <c r="Z357" s="37" t="s">
        <v>770</v>
      </c>
    </row>
    <row r="358" spans="1:27" ht="28.5" x14ac:dyDescent="0.25">
      <c r="A358" s="1" t="s">
        <v>22</v>
      </c>
      <c r="B358" s="15" t="s">
        <v>23</v>
      </c>
      <c r="C358" s="28" t="s">
        <v>375</v>
      </c>
      <c r="D358" s="29">
        <f>MAX($D$8:D357)+1</f>
        <v>335</v>
      </c>
      <c r="E358" s="49" t="s">
        <v>414</v>
      </c>
      <c r="F358" s="31">
        <v>5610703849</v>
      </c>
      <c r="G358" s="32">
        <v>3.03</v>
      </c>
      <c r="H358" s="32"/>
      <c r="I358" s="32"/>
      <c r="J358" s="34">
        <f t="shared" si="31"/>
        <v>3.03</v>
      </c>
      <c r="K358" s="32">
        <v>3.03</v>
      </c>
      <c r="L358" s="32"/>
      <c r="M358" s="32"/>
      <c r="N358" s="34">
        <f t="shared" si="31"/>
        <v>3.03</v>
      </c>
      <c r="O358" s="32">
        <v>3.03</v>
      </c>
      <c r="P358" s="32"/>
      <c r="Q358" s="32"/>
      <c r="R358" s="34">
        <f t="shared" si="32"/>
        <v>3.03</v>
      </c>
      <c r="S358" s="35" t="s">
        <v>27</v>
      </c>
      <c r="T358" s="34">
        <f t="shared" si="34"/>
        <v>0.3</v>
      </c>
      <c r="U358" s="35" t="s">
        <v>27</v>
      </c>
      <c r="V358" s="34">
        <f t="shared" si="35"/>
        <v>0.3</v>
      </c>
      <c r="W358" s="35" t="s">
        <v>27</v>
      </c>
      <c r="X358" s="34">
        <f t="shared" si="36"/>
        <v>0.3</v>
      </c>
      <c r="Y358" s="36">
        <f t="shared" si="33"/>
        <v>6381180</v>
      </c>
      <c r="Z358" s="37" t="s">
        <v>771</v>
      </c>
    </row>
    <row r="359" spans="1:27" ht="28.5" x14ac:dyDescent="0.25">
      <c r="A359" s="1" t="s">
        <v>22</v>
      </c>
      <c r="B359" s="15" t="s">
        <v>23</v>
      </c>
      <c r="C359" s="28" t="s">
        <v>349</v>
      </c>
      <c r="D359" s="29">
        <f>MAX($D$8:D358)+1</f>
        <v>336</v>
      </c>
      <c r="E359" s="49" t="s">
        <v>415</v>
      </c>
      <c r="F359" s="31">
        <v>5610637355</v>
      </c>
      <c r="G359" s="32">
        <v>3.03</v>
      </c>
      <c r="H359" s="32"/>
      <c r="I359" s="32"/>
      <c r="J359" s="34">
        <f t="shared" si="31"/>
        <v>3.03</v>
      </c>
      <c r="K359" s="32">
        <v>3.03</v>
      </c>
      <c r="L359" s="32"/>
      <c r="M359" s="32"/>
      <c r="N359" s="34">
        <f t="shared" si="31"/>
        <v>3.03</v>
      </c>
      <c r="O359" s="32">
        <v>3.03</v>
      </c>
      <c r="P359" s="32"/>
      <c r="Q359" s="32"/>
      <c r="R359" s="34">
        <f t="shared" si="32"/>
        <v>3.03</v>
      </c>
      <c r="S359" s="35" t="s">
        <v>27</v>
      </c>
      <c r="T359" s="34">
        <f t="shared" si="34"/>
        <v>0.3</v>
      </c>
      <c r="U359" s="35" t="s">
        <v>27</v>
      </c>
      <c r="V359" s="34">
        <f t="shared" si="35"/>
        <v>0.3</v>
      </c>
      <c r="W359" s="35" t="s">
        <v>27</v>
      </c>
      <c r="X359" s="34">
        <f t="shared" si="36"/>
        <v>0.3</v>
      </c>
      <c r="Y359" s="36">
        <f t="shared" si="33"/>
        <v>6381180</v>
      </c>
      <c r="Z359" s="37" t="s">
        <v>772</v>
      </c>
    </row>
    <row r="360" spans="1:27" ht="28.5" x14ac:dyDescent="0.25">
      <c r="A360" s="1" t="s">
        <v>22</v>
      </c>
      <c r="B360" s="15" t="s">
        <v>23</v>
      </c>
      <c r="C360" s="28" t="s">
        <v>369</v>
      </c>
      <c r="D360" s="29">
        <f>MAX($D$8:D359)+1</f>
        <v>337</v>
      </c>
      <c r="E360" s="49" t="s">
        <v>416</v>
      </c>
      <c r="F360" s="31">
        <v>5610798368</v>
      </c>
      <c r="G360" s="32">
        <v>3.33</v>
      </c>
      <c r="H360" s="32"/>
      <c r="I360" s="32"/>
      <c r="J360" s="34">
        <f t="shared" si="31"/>
        <v>3.33</v>
      </c>
      <c r="K360" s="32">
        <v>3.33</v>
      </c>
      <c r="L360" s="32"/>
      <c r="M360" s="32"/>
      <c r="N360" s="34">
        <f t="shared" si="31"/>
        <v>3.33</v>
      </c>
      <c r="O360" s="32">
        <v>3.33</v>
      </c>
      <c r="P360" s="32"/>
      <c r="Q360" s="32"/>
      <c r="R360" s="34">
        <f t="shared" si="32"/>
        <v>3.33</v>
      </c>
      <c r="S360" s="35" t="s">
        <v>38</v>
      </c>
      <c r="T360" s="34">
        <f t="shared" si="34"/>
        <v>0.1</v>
      </c>
      <c r="U360" s="35" t="s">
        <v>27</v>
      </c>
      <c r="V360" s="34">
        <f t="shared" si="35"/>
        <v>0.3</v>
      </c>
      <c r="W360" s="35" t="s">
        <v>27</v>
      </c>
      <c r="X360" s="34">
        <f t="shared" si="36"/>
        <v>0.3</v>
      </c>
      <c r="Y360" s="36">
        <f t="shared" si="33"/>
        <v>5454540</v>
      </c>
      <c r="Z360" s="37" t="s">
        <v>773</v>
      </c>
      <c r="AA360" s="7">
        <v>3.33</v>
      </c>
    </row>
    <row r="361" spans="1:27" ht="28.5" x14ac:dyDescent="0.25">
      <c r="A361" s="1" t="s">
        <v>22</v>
      </c>
      <c r="B361" s="15" t="s">
        <v>23</v>
      </c>
      <c r="C361" s="28" t="s">
        <v>362</v>
      </c>
      <c r="D361" s="29">
        <f>MAX($D$8:D360)+1</f>
        <v>338</v>
      </c>
      <c r="E361" s="49" t="s">
        <v>417</v>
      </c>
      <c r="F361" s="31">
        <v>5611148328</v>
      </c>
      <c r="G361" s="32">
        <v>3.65</v>
      </c>
      <c r="H361" s="32"/>
      <c r="I361" s="32"/>
      <c r="J361" s="34">
        <f t="shared" si="31"/>
        <v>3.65</v>
      </c>
      <c r="K361" s="32">
        <v>3.65</v>
      </c>
      <c r="L361" s="32"/>
      <c r="M361" s="32"/>
      <c r="N361" s="34">
        <f t="shared" si="31"/>
        <v>3.65</v>
      </c>
      <c r="O361" s="32">
        <v>3.65</v>
      </c>
      <c r="P361" s="32"/>
      <c r="Q361" s="32"/>
      <c r="R361" s="34">
        <f t="shared" si="32"/>
        <v>3.65</v>
      </c>
      <c r="S361" s="35" t="s">
        <v>27</v>
      </c>
      <c r="T361" s="34">
        <f t="shared" si="34"/>
        <v>0.3</v>
      </c>
      <c r="U361" s="35" t="s">
        <v>27</v>
      </c>
      <c r="V361" s="34">
        <f t="shared" si="35"/>
        <v>0.3</v>
      </c>
      <c r="W361" s="35" t="s">
        <v>27</v>
      </c>
      <c r="X361" s="34">
        <f t="shared" si="36"/>
        <v>0.3</v>
      </c>
      <c r="Y361" s="36">
        <f t="shared" si="33"/>
        <v>7686900</v>
      </c>
      <c r="Z361" s="37" t="s">
        <v>774</v>
      </c>
    </row>
    <row r="362" spans="1:27" ht="28.5" x14ac:dyDescent="0.25">
      <c r="A362" s="1" t="s">
        <v>22</v>
      </c>
      <c r="B362" s="15" t="s">
        <v>23</v>
      </c>
      <c r="C362" s="28" t="s">
        <v>349</v>
      </c>
      <c r="D362" s="29">
        <f>MAX($D$8:D361)+1</f>
        <v>339</v>
      </c>
      <c r="E362" s="49" t="s">
        <v>418</v>
      </c>
      <c r="F362" s="31">
        <v>5610694271</v>
      </c>
      <c r="G362" s="61">
        <v>3.99</v>
      </c>
      <c r="H362" s="61"/>
      <c r="I362" s="61"/>
      <c r="J362" s="34">
        <f t="shared" si="31"/>
        <v>3.99</v>
      </c>
      <c r="K362" s="32">
        <v>3.99</v>
      </c>
      <c r="L362" s="32"/>
      <c r="M362" s="32"/>
      <c r="N362" s="34">
        <f t="shared" si="31"/>
        <v>3.99</v>
      </c>
      <c r="O362" s="32">
        <v>3.99</v>
      </c>
      <c r="P362" s="32"/>
      <c r="Q362" s="32"/>
      <c r="R362" s="34">
        <f t="shared" si="32"/>
        <v>3.99</v>
      </c>
      <c r="S362" s="35" t="s">
        <v>27</v>
      </c>
      <c r="T362" s="34">
        <f t="shared" si="34"/>
        <v>0.3</v>
      </c>
      <c r="U362" s="35" t="s">
        <v>27</v>
      </c>
      <c r="V362" s="34">
        <f t="shared" si="35"/>
        <v>0.3</v>
      </c>
      <c r="W362" s="35" t="s">
        <v>27</v>
      </c>
      <c r="X362" s="34">
        <f t="shared" si="36"/>
        <v>0.3</v>
      </c>
      <c r="Y362" s="36">
        <f t="shared" si="33"/>
        <v>8402940</v>
      </c>
      <c r="Z362" s="37" t="s">
        <v>775</v>
      </c>
    </row>
    <row r="363" spans="1:27" x14ac:dyDescent="0.25">
      <c r="B363" s="15"/>
      <c r="C363" s="28"/>
      <c r="D363" s="29" t="s">
        <v>20</v>
      </c>
      <c r="E363" s="44" t="s">
        <v>419</v>
      </c>
      <c r="F363" s="31"/>
      <c r="G363" s="32"/>
      <c r="H363" s="32"/>
      <c r="I363" s="32"/>
      <c r="J363" s="34"/>
      <c r="K363" s="32"/>
      <c r="L363" s="32"/>
      <c r="M363" s="32"/>
      <c r="N363" s="34"/>
      <c r="O363" s="32"/>
      <c r="P363" s="32"/>
      <c r="Q363" s="32"/>
      <c r="R363" s="34"/>
      <c r="S363" s="35"/>
      <c r="T363" s="34"/>
      <c r="U363" s="35"/>
      <c r="V363" s="34"/>
      <c r="W363" s="35"/>
      <c r="X363" s="34"/>
      <c r="Y363" s="36"/>
      <c r="Z363" s="37"/>
    </row>
    <row r="364" spans="1:27" ht="28.5" x14ac:dyDescent="0.25">
      <c r="A364" s="1" t="s">
        <v>22</v>
      </c>
      <c r="B364" s="15" t="s">
        <v>23</v>
      </c>
      <c r="C364" s="28" t="s">
        <v>420</v>
      </c>
      <c r="D364" s="29">
        <f>MAX($D$8:D363)+1</f>
        <v>340</v>
      </c>
      <c r="E364" s="30" t="s">
        <v>421</v>
      </c>
      <c r="F364" s="31">
        <v>5611151070</v>
      </c>
      <c r="G364" s="32">
        <v>6.1</v>
      </c>
      <c r="H364" s="32"/>
      <c r="I364" s="34">
        <v>0.6</v>
      </c>
      <c r="J364" s="34">
        <f t="shared" si="31"/>
        <v>6.6999999999999993</v>
      </c>
      <c r="K364" s="32">
        <v>6.1</v>
      </c>
      <c r="L364" s="32"/>
      <c r="M364" s="34">
        <v>0.6</v>
      </c>
      <c r="N364" s="34">
        <f t="shared" si="31"/>
        <v>6.6999999999999993</v>
      </c>
      <c r="O364" s="32">
        <v>6.1</v>
      </c>
      <c r="P364" s="32"/>
      <c r="Q364" s="34"/>
      <c r="R364" s="34">
        <f t="shared" si="32"/>
        <v>6.1</v>
      </c>
      <c r="S364" s="35" t="s">
        <v>27</v>
      </c>
      <c r="T364" s="34">
        <f t="shared" si="34"/>
        <v>0.3</v>
      </c>
      <c r="U364" s="35" t="s">
        <v>27</v>
      </c>
      <c r="V364" s="34">
        <f t="shared" si="35"/>
        <v>0.3</v>
      </c>
      <c r="W364" s="35" t="s">
        <v>27</v>
      </c>
      <c r="X364" s="34">
        <f t="shared" si="36"/>
        <v>0.3</v>
      </c>
      <c r="Y364" s="36">
        <f t="shared" si="33"/>
        <v>13689000</v>
      </c>
      <c r="Z364" s="37" t="s">
        <v>776</v>
      </c>
    </row>
    <row r="365" spans="1:27" ht="28.5" x14ac:dyDescent="0.25">
      <c r="A365" s="1" t="s">
        <v>22</v>
      </c>
      <c r="B365" s="15" t="s">
        <v>23</v>
      </c>
      <c r="C365" s="28" t="s">
        <v>420</v>
      </c>
      <c r="D365" s="29">
        <f>MAX($D$8:D364)+1</f>
        <v>341</v>
      </c>
      <c r="E365" s="64" t="s">
        <v>422</v>
      </c>
      <c r="F365" s="31">
        <v>5611148179</v>
      </c>
      <c r="G365" s="32">
        <v>4.32</v>
      </c>
      <c r="H365" s="32"/>
      <c r="I365" s="34">
        <v>0.5</v>
      </c>
      <c r="J365" s="34">
        <f t="shared" si="31"/>
        <v>4.82</v>
      </c>
      <c r="K365" s="32">
        <v>4.32</v>
      </c>
      <c r="L365" s="32"/>
      <c r="M365" s="34">
        <v>0.5</v>
      </c>
      <c r="N365" s="34">
        <f t="shared" si="31"/>
        <v>4.82</v>
      </c>
      <c r="O365" s="32">
        <v>4.32</v>
      </c>
      <c r="P365" s="32"/>
      <c r="Q365" s="34">
        <v>0.5</v>
      </c>
      <c r="R365" s="34">
        <f t="shared" si="32"/>
        <v>4.82</v>
      </c>
      <c r="S365" s="35" t="s">
        <v>27</v>
      </c>
      <c r="T365" s="34">
        <f t="shared" si="34"/>
        <v>0.3</v>
      </c>
      <c r="U365" s="35" t="s">
        <v>27</v>
      </c>
      <c r="V365" s="34">
        <f t="shared" si="35"/>
        <v>0.3</v>
      </c>
      <c r="W365" s="35" t="s">
        <v>27</v>
      </c>
      <c r="X365" s="34">
        <f t="shared" si="36"/>
        <v>0.3</v>
      </c>
      <c r="Y365" s="36">
        <f t="shared" si="33"/>
        <v>10150920</v>
      </c>
      <c r="Z365" s="37" t="s">
        <v>777</v>
      </c>
    </row>
    <row r="366" spans="1:27" ht="28.5" x14ac:dyDescent="0.25">
      <c r="A366" s="1" t="s">
        <v>22</v>
      </c>
      <c r="B366" s="15" t="s">
        <v>23</v>
      </c>
      <c r="C366" s="28" t="s">
        <v>420</v>
      </c>
      <c r="D366" s="29">
        <f>MAX($D$8:D365)+1</f>
        <v>342</v>
      </c>
      <c r="E366" s="30" t="s">
        <v>423</v>
      </c>
      <c r="F366" s="31">
        <v>5611150208</v>
      </c>
      <c r="G366" s="32">
        <v>3.99</v>
      </c>
      <c r="H366" s="32"/>
      <c r="I366" s="34"/>
      <c r="J366" s="34">
        <f t="shared" si="31"/>
        <v>3.99</v>
      </c>
      <c r="K366" s="32">
        <v>3.99</v>
      </c>
      <c r="L366" s="32"/>
      <c r="M366" s="34"/>
      <c r="N366" s="34">
        <f t="shared" si="31"/>
        <v>3.99</v>
      </c>
      <c r="O366" s="61">
        <v>4.32</v>
      </c>
      <c r="P366" s="61"/>
      <c r="Q366" s="34"/>
      <c r="R366" s="34">
        <f t="shared" si="32"/>
        <v>4.32</v>
      </c>
      <c r="S366" s="35" t="s">
        <v>27</v>
      </c>
      <c r="T366" s="34">
        <f t="shared" si="34"/>
        <v>0.3</v>
      </c>
      <c r="U366" s="35" t="s">
        <v>27</v>
      </c>
      <c r="V366" s="34">
        <f t="shared" si="35"/>
        <v>0.3</v>
      </c>
      <c r="W366" s="35" t="s">
        <v>27</v>
      </c>
      <c r="X366" s="34">
        <f t="shared" si="36"/>
        <v>0.3</v>
      </c>
      <c r="Y366" s="36">
        <f t="shared" si="33"/>
        <v>8634600</v>
      </c>
      <c r="Z366" s="37" t="s">
        <v>778</v>
      </c>
    </row>
    <row r="367" spans="1:27" ht="28.5" x14ac:dyDescent="0.25">
      <c r="A367" s="1" t="s">
        <v>22</v>
      </c>
      <c r="B367" s="15" t="s">
        <v>23</v>
      </c>
      <c r="C367" s="28" t="s">
        <v>420</v>
      </c>
      <c r="D367" s="29">
        <f>MAX($D$8:D366)+1</f>
        <v>343</v>
      </c>
      <c r="E367" s="30" t="s">
        <v>424</v>
      </c>
      <c r="F367" s="31">
        <v>5610540897</v>
      </c>
      <c r="G367" s="32">
        <v>2.67</v>
      </c>
      <c r="H367" s="32"/>
      <c r="I367" s="34"/>
      <c r="J367" s="34">
        <f t="shared" si="31"/>
        <v>2.67</v>
      </c>
      <c r="K367" s="32">
        <v>2.67</v>
      </c>
      <c r="L367" s="32"/>
      <c r="M367" s="34"/>
      <c r="N367" s="34">
        <f t="shared" si="31"/>
        <v>2.67</v>
      </c>
      <c r="O367" s="32">
        <v>2.67</v>
      </c>
      <c r="P367" s="32"/>
      <c r="Q367" s="34"/>
      <c r="R367" s="34">
        <f t="shared" si="32"/>
        <v>2.67</v>
      </c>
      <c r="S367" s="35" t="s">
        <v>27</v>
      </c>
      <c r="T367" s="34">
        <f t="shared" si="34"/>
        <v>0.3</v>
      </c>
      <c r="U367" s="35" t="s">
        <v>27</v>
      </c>
      <c r="V367" s="34">
        <f t="shared" si="35"/>
        <v>0.3</v>
      </c>
      <c r="W367" s="35" t="s">
        <v>27</v>
      </c>
      <c r="X367" s="34">
        <f t="shared" si="36"/>
        <v>0.3</v>
      </c>
      <c r="Y367" s="36">
        <f t="shared" si="33"/>
        <v>5623019.9999999991</v>
      </c>
      <c r="Z367" s="37" t="s">
        <v>779</v>
      </c>
    </row>
    <row r="368" spans="1:27" ht="28.5" x14ac:dyDescent="0.25">
      <c r="A368" s="1" t="s">
        <v>22</v>
      </c>
      <c r="B368" s="15" t="s">
        <v>23</v>
      </c>
      <c r="C368" s="28" t="s">
        <v>420</v>
      </c>
      <c r="D368" s="29">
        <f>MAX($D$8:D367)+1</f>
        <v>344</v>
      </c>
      <c r="E368" s="83" t="s">
        <v>425</v>
      </c>
      <c r="F368" s="47">
        <v>8873369415</v>
      </c>
      <c r="G368" s="118">
        <v>3.66</v>
      </c>
      <c r="H368" s="118"/>
      <c r="I368" s="34">
        <v>0.5</v>
      </c>
      <c r="J368" s="34">
        <f t="shared" si="31"/>
        <v>4.16</v>
      </c>
      <c r="K368" s="118">
        <v>3.66</v>
      </c>
      <c r="L368" s="118"/>
      <c r="M368" s="34">
        <v>0.5</v>
      </c>
      <c r="N368" s="34">
        <f t="shared" si="31"/>
        <v>4.16</v>
      </c>
      <c r="O368" s="118">
        <v>3.66</v>
      </c>
      <c r="P368" s="118"/>
      <c r="Q368" s="34">
        <v>0.5</v>
      </c>
      <c r="R368" s="34">
        <f t="shared" si="32"/>
        <v>4.16</v>
      </c>
      <c r="S368" s="35" t="s">
        <v>27</v>
      </c>
      <c r="T368" s="34">
        <f t="shared" si="34"/>
        <v>0.3</v>
      </c>
      <c r="U368" s="35" t="s">
        <v>27</v>
      </c>
      <c r="V368" s="34">
        <f t="shared" si="35"/>
        <v>0.3</v>
      </c>
      <c r="W368" s="35" t="s">
        <v>27</v>
      </c>
      <c r="X368" s="34">
        <f t="shared" si="36"/>
        <v>0.3</v>
      </c>
      <c r="Y368" s="36">
        <f t="shared" si="33"/>
        <v>8760960</v>
      </c>
      <c r="Z368" s="37" t="s">
        <v>780</v>
      </c>
    </row>
    <row r="369" spans="1:26" ht="28.5" x14ac:dyDescent="0.25">
      <c r="A369" s="1" t="s">
        <v>22</v>
      </c>
      <c r="B369" s="15" t="s">
        <v>23</v>
      </c>
      <c r="C369" s="28" t="s">
        <v>420</v>
      </c>
      <c r="D369" s="29">
        <f>MAX($D$8:D368)+1</f>
        <v>345</v>
      </c>
      <c r="E369" s="62" t="s">
        <v>426</v>
      </c>
      <c r="F369" s="47">
        <v>5620212962</v>
      </c>
      <c r="G369" s="51">
        <v>4.6500000000000004</v>
      </c>
      <c r="H369" s="51"/>
      <c r="I369" s="51"/>
      <c r="J369" s="34">
        <f t="shared" si="31"/>
        <v>4.6500000000000004</v>
      </c>
      <c r="K369" s="52">
        <v>4.6500000000000004</v>
      </c>
      <c r="L369" s="52"/>
      <c r="M369" s="52"/>
      <c r="N369" s="34">
        <f t="shared" si="31"/>
        <v>4.6500000000000004</v>
      </c>
      <c r="O369" s="52">
        <v>4.6500000000000004</v>
      </c>
      <c r="P369" s="52"/>
      <c r="Q369" s="52"/>
      <c r="R369" s="34">
        <f t="shared" si="32"/>
        <v>4.6500000000000004</v>
      </c>
      <c r="S369" s="35" t="s">
        <v>27</v>
      </c>
      <c r="T369" s="34">
        <f t="shared" si="34"/>
        <v>0.3</v>
      </c>
      <c r="U369" s="35" t="s">
        <v>27</v>
      </c>
      <c r="V369" s="34">
        <f t="shared" si="35"/>
        <v>0.3</v>
      </c>
      <c r="W369" s="35" t="s">
        <v>27</v>
      </c>
      <c r="X369" s="34">
        <f t="shared" si="36"/>
        <v>0.3</v>
      </c>
      <c r="Y369" s="36">
        <f t="shared" si="33"/>
        <v>9792900.0000000019</v>
      </c>
      <c r="Z369" s="37" t="s">
        <v>781</v>
      </c>
    </row>
    <row r="370" spans="1:26" ht="28.5" x14ac:dyDescent="0.25">
      <c r="A370" s="1" t="s">
        <v>22</v>
      </c>
      <c r="B370" s="15" t="s">
        <v>23</v>
      </c>
      <c r="C370" s="28" t="s">
        <v>420</v>
      </c>
      <c r="D370" s="29">
        <f>MAX($D$8:D369)+1</f>
        <v>346</v>
      </c>
      <c r="E370" s="62" t="s">
        <v>427</v>
      </c>
      <c r="F370" s="47">
        <v>5620580270</v>
      </c>
      <c r="G370" s="52">
        <v>4.32</v>
      </c>
      <c r="H370" s="52"/>
      <c r="I370" s="52"/>
      <c r="J370" s="34">
        <f t="shared" si="31"/>
        <v>4.32</v>
      </c>
      <c r="K370" s="52">
        <v>4.32</v>
      </c>
      <c r="L370" s="52"/>
      <c r="M370" s="52"/>
      <c r="N370" s="34">
        <f t="shared" si="31"/>
        <v>4.32</v>
      </c>
      <c r="O370" s="52">
        <v>4.32</v>
      </c>
      <c r="P370" s="52"/>
      <c r="Q370" s="52"/>
      <c r="R370" s="34">
        <f t="shared" si="32"/>
        <v>4.32</v>
      </c>
      <c r="S370" s="35" t="s">
        <v>27</v>
      </c>
      <c r="T370" s="34">
        <f t="shared" si="34"/>
        <v>0.3</v>
      </c>
      <c r="U370" s="35" t="s">
        <v>27</v>
      </c>
      <c r="V370" s="34">
        <f t="shared" si="35"/>
        <v>0.3</v>
      </c>
      <c r="W370" s="35" t="s">
        <v>27</v>
      </c>
      <c r="X370" s="34">
        <f t="shared" si="36"/>
        <v>0.3</v>
      </c>
      <c r="Y370" s="36">
        <f t="shared" si="33"/>
        <v>9097920</v>
      </c>
      <c r="Z370" s="37" t="s">
        <v>782</v>
      </c>
    </row>
    <row r="371" spans="1:26" ht="28.5" x14ac:dyDescent="0.25">
      <c r="A371" s="1" t="s">
        <v>22</v>
      </c>
      <c r="B371" s="15" t="s">
        <v>23</v>
      </c>
      <c r="C371" s="16" t="s">
        <v>420</v>
      </c>
      <c r="D371" s="124">
        <f>MAX($D$8:D370)+1</f>
        <v>347</v>
      </c>
      <c r="E371" s="125" t="s">
        <v>428</v>
      </c>
      <c r="F371" s="126">
        <v>5623908923</v>
      </c>
      <c r="G371" s="127">
        <v>3.33</v>
      </c>
      <c r="H371" s="127"/>
      <c r="I371" s="127"/>
      <c r="J371" s="34">
        <f t="shared" si="31"/>
        <v>3.33</v>
      </c>
      <c r="K371" s="127">
        <v>3.33</v>
      </c>
      <c r="L371" s="127"/>
      <c r="M371" s="127"/>
      <c r="N371" s="34">
        <f t="shared" si="31"/>
        <v>3.33</v>
      </c>
      <c r="O371" s="127">
        <v>3.33</v>
      </c>
      <c r="P371" s="127"/>
      <c r="Q371" s="127"/>
      <c r="R371" s="34">
        <f t="shared" si="32"/>
        <v>3.33</v>
      </c>
      <c r="S371" s="35" t="s">
        <v>27</v>
      </c>
      <c r="T371" s="34">
        <f t="shared" si="34"/>
        <v>0.3</v>
      </c>
      <c r="U371" s="35" t="s">
        <v>27</v>
      </c>
      <c r="V371" s="34">
        <f t="shared" si="35"/>
        <v>0.3</v>
      </c>
      <c r="W371" s="35" t="s">
        <v>27</v>
      </c>
      <c r="X371" s="34">
        <f t="shared" si="36"/>
        <v>0.3</v>
      </c>
      <c r="Y371" s="36">
        <f t="shared" si="33"/>
        <v>7012980</v>
      </c>
      <c r="Z371" s="37" t="s">
        <v>783</v>
      </c>
    </row>
    <row r="372" spans="1:26" ht="28.5" x14ac:dyDescent="0.25">
      <c r="A372" s="1" t="s">
        <v>22</v>
      </c>
      <c r="B372" s="28" t="s">
        <v>23</v>
      </c>
      <c r="C372" s="28" t="s">
        <v>420</v>
      </c>
      <c r="D372" s="124">
        <f>MAX($D$8:D371)+1</f>
        <v>348</v>
      </c>
      <c r="E372" s="83" t="s">
        <v>429</v>
      </c>
      <c r="F372" s="47">
        <v>8863369419</v>
      </c>
      <c r="G372" s="52">
        <v>2.34</v>
      </c>
      <c r="H372" s="52"/>
      <c r="I372" s="52"/>
      <c r="J372" s="34">
        <f t="shared" si="31"/>
        <v>2.34</v>
      </c>
      <c r="K372" s="52">
        <v>2.34</v>
      </c>
      <c r="L372" s="52"/>
      <c r="M372" s="52"/>
      <c r="N372" s="34">
        <f t="shared" si="31"/>
        <v>2.34</v>
      </c>
      <c r="O372" s="52">
        <v>2.34</v>
      </c>
      <c r="P372" s="52"/>
      <c r="Q372" s="52"/>
      <c r="R372" s="34">
        <f t="shared" si="32"/>
        <v>2.34</v>
      </c>
      <c r="S372" s="35" t="s">
        <v>27</v>
      </c>
      <c r="T372" s="34">
        <f t="shared" si="34"/>
        <v>0.3</v>
      </c>
      <c r="U372" s="35" t="s">
        <v>27</v>
      </c>
      <c r="V372" s="34">
        <f t="shared" si="35"/>
        <v>0.3</v>
      </c>
      <c r="W372" s="35" t="s">
        <v>27</v>
      </c>
      <c r="X372" s="34">
        <f t="shared" si="36"/>
        <v>0.3</v>
      </c>
      <c r="Y372" s="36">
        <f t="shared" si="33"/>
        <v>4928040</v>
      </c>
      <c r="Z372" s="37" t="s">
        <v>784</v>
      </c>
    </row>
    <row r="373" spans="1:26" ht="28.5" x14ac:dyDescent="0.25">
      <c r="A373" s="1" t="s">
        <v>22</v>
      </c>
      <c r="B373" s="15" t="s">
        <v>23</v>
      </c>
      <c r="C373" s="28" t="s">
        <v>420</v>
      </c>
      <c r="D373" s="124">
        <f>MAX($D$8:D372)+1</f>
        <v>349</v>
      </c>
      <c r="E373" s="64" t="s">
        <v>430</v>
      </c>
      <c r="F373" s="31">
        <v>5611150004</v>
      </c>
      <c r="G373" s="32">
        <v>3.66</v>
      </c>
      <c r="H373" s="32"/>
      <c r="I373" s="32"/>
      <c r="J373" s="34">
        <f t="shared" si="31"/>
        <v>3.66</v>
      </c>
      <c r="K373" s="32">
        <v>3.66</v>
      </c>
      <c r="L373" s="32"/>
      <c r="M373" s="32"/>
      <c r="N373" s="34">
        <f t="shared" si="31"/>
        <v>3.66</v>
      </c>
      <c r="O373" s="32">
        <v>3.66</v>
      </c>
      <c r="P373" s="32"/>
      <c r="Q373" s="32"/>
      <c r="R373" s="34">
        <f t="shared" si="32"/>
        <v>3.66</v>
      </c>
      <c r="S373" s="35" t="s">
        <v>27</v>
      </c>
      <c r="T373" s="34">
        <f>IF(S373="hoàn thành xuất sắc nhiệm vụ",0.5,IF(S373="hoàn thành tốt nhiệm vụ",0.3,IF(S373="hoàn thành nhiệm vụ",0.1,0)))</f>
        <v>0.3</v>
      </c>
      <c r="U373" s="35" t="s">
        <v>27</v>
      </c>
      <c r="V373" s="34">
        <f>IF(U373="hoàn thành xuất sắc nhiệm vụ",0.5,IF(U373="hoàn thành tốt nhiệm vụ",0.3,IF(U373="hoàn thành nhiệm vụ",0.1,0)))</f>
        <v>0.3</v>
      </c>
      <c r="W373" s="35" t="s">
        <v>27</v>
      </c>
      <c r="X373" s="34">
        <f>IF(W373="hoàn thành xuất sắc nhiệm vụ",0.5,IF(W373="hoàn thành tốt nhiệm vụ",0.3,IF(W373="hoàn thành nhiệm vụ",0.1,0)))</f>
        <v>0.3</v>
      </c>
      <c r="Y373" s="36">
        <f t="shared" si="33"/>
        <v>7707960.0000000009</v>
      </c>
      <c r="Z373" s="37" t="s">
        <v>785</v>
      </c>
    </row>
    <row r="374" spans="1:26" ht="28.5" x14ac:dyDescent="0.25">
      <c r="A374" s="1" t="s">
        <v>22</v>
      </c>
      <c r="B374" s="15" t="s">
        <v>23</v>
      </c>
      <c r="C374" s="28" t="s">
        <v>420</v>
      </c>
      <c r="D374" s="124">
        <f>MAX($D$8:D373)+1</f>
        <v>350</v>
      </c>
      <c r="E374" s="64" t="s">
        <v>431</v>
      </c>
      <c r="F374" s="31">
        <v>5611150323</v>
      </c>
      <c r="G374" s="32">
        <v>3.34</v>
      </c>
      <c r="H374" s="32"/>
      <c r="I374" s="32"/>
      <c r="J374" s="34">
        <f t="shared" si="31"/>
        <v>3.34</v>
      </c>
      <c r="K374" s="32">
        <v>3.34</v>
      </c>
      <c r="L374" s="32"/>
      <c r="M374" s="32"/>
      <c r="N374" s="34">
        <f t="shared" si="31"/>
        <v>3.34</v>
      </c>
      <c r="O374" s="32">
        <v>3.34</v>
      </c>
      <c r="P374" s="32"/>
      <c r="Q374" s="32"/>
      <c r="R374" s="34">
        <f t="shared" si="32"/>
        <v>3.34</v>
      </c>
      <c r="S374" s="35" t="s">
        <v>27</v>
      </c>
      <c r="T374" s="34">
        <f>IF(S374="hoàn thành xuất sắc nhiệm vụ",0.5,IF(S374="hoàn thành tốt nhiệm vụ",0.3,IF(S374="hoàn thành nhiệm vụ",0.1,0)))</f>
        <v>0.3</v>
      </c>
      <c r="U374" s="35" t="s">
        <v>27</v>
      </c>
      <c r="V374" s="34">
        <f>IF(U374="hoàn thành xuất sắc nhiệm vụ",0.5,IF(U374="hoàn thành tốt nhiệm vụ",0.3,IF(U374="hoàn thành nhiệm vụ",0.1,0)))</f>
        <v>0.3</v>
      </c>
      <c r="W374" s="35" t="s">
        <v>27</v>
      </c>
      <c r="X374" s="34">
        <f>IF(W374="hoàn thành xuất sắc nhiệm vụ",0.5,IF(W374="hoàn thành tốt nhiệm vụ",0.3,IF(W374="hoàn thành nhiệm vụ",0.1,0)))</f>
        <v>0.3</v>
      </c>
      <c r="Y374" s="36">
        <f t="shared" si="33"/>
        <v>7034040.0000000009</v>
      </c>
      <c r="Z374" s="37" t="s">
        <v>786</v>
      </c>
    </row>
    <row r="375" spans="1:26" x14ac:dyDescent="0.25">
      <c r="B375" s="28"/>
      <c r="C375" s="28"/>
      <c r="D375" s="29" t="s">
        <v>20</v>
      </c>
      <c r="E375" s="44" t="s">
        <v>432</v>
      </c>
      <c r="F375" s="128"/>
      <c r="G375" s="129">
        <f>SUM(G9:G374)</f>
        <v>1272.2900000000004</v>
      </c>
      <c r="H375" s="129">
        <f t="shared" ref="H375:I375" si="37">SUM(H9:H374)</f>
        <v>5.2371999999999996</v>
      </c>
      <c r="I375" s="129">
        <f t="shared" si="37"/>
        <v>25.600000000000009</v>
      </c>
      <c r="J375" s="129"/>
      <c r="K375" s="129">
        <f t="shared" ref="K375:Q375" si="38">SUM(K9:K374)</f>
        <v>1276.9100000000003</v>
      </c>
      <c r="L375" s="130">
        <f>SUM(L9:L374)</f>
        <v>5.3773999999999997</v>
      </c>
      <c r="M375" s="129">
        <f t="shared" ref="M375" si="39">SUM(M9:M374)</f>
        <v>25.600000000000009</v>
      </c>
      <c r="N375" s="129"/>
      <c r="O375" s="129">
        <f t="shared" si="38"/>
        <v>1279.31</v>
      </c>
      <c r="P375" s="129">
        <f t="shared" si="38"/>
        <v>5.4271999999999991</v>
      </c>
      <c r="Q375" s="129">
        <f t="shared" si="38"/>
        <v>25.000000000000007</v>
      </c>
      <c r="R375" s="129"/>
      <c r="S375" s="131"/>
      <c r="T375" s="34"/>
      <c r="U375" s="131"/>
      <c r="V375" s="34"/>
      <c r="W375" s="131"/>
      <c r="X375" s="34"/>
      <c r="Y375" s="132">
        <f>SUM(Y9:Y374)-2</f>
        <v>2697593221.6000004</v>
      </c>
      <c r="Z375" s="37"/>
    </row>
    <row r="376" spans="1:26" x14ac:dyDescent="0.25">
      <c r="B376" s="2"/>
      <c r="C376" s="133"/>
      <c r="D376" s="6"/>
      <c r="E376" s="134" t="s">
        <v>433</v>
      </c>
      <c r="F376" s="134"/>
      <c r="G376" s="134"/>
      <c r="H376" s="134"/>
      <c r="I376" s="134"/>
      <c r="J376" s="134"/>
      <c r="K376" s="134"/>
      <c r="L376" s="134"/>
      <c r="M376" s="134"/>
      <c r="N376" s="134"/>
      <c r="O376" s="134"/>
      <c r="P376" s="134"/>
      <c r="Q376" s="134"/>
      <c r="R376" s="134"/>
      <c r="S376" s="134"/>
      <c r="T376" s="135"/>
      <c r="U376" s="136"/>
      <c r="V376" s="135"/>
      <c r="W376" s="136"/>
      <c r="X376" s="135"/>
      <c r="Y376" s="135"/>
      <c r="Z376" s="135"/>
    </row>
    <row r="377" spans="1:26" ht="18.75" x14ac:dyDescent="0.25">
      <c r="B377" s="2"/>
      <c r="C377" s="133"/>
      <c r="D377" s="6"/>
      <c r="E377" s="177"/>
      <c r="F377" s="177"/>
      <c r="G377" s="177"/>
      <c r="H377" s="137"/>
      <c r="I377" s="137"/>
      <c r="J377" s="137"/>
      <c r="K377" s="138"/>
      <c r="L377" s="138"/>
      <c r="M377" s="138"/>
      <c r="S377" s="178" t="s">
        <v>434</v>
      </c>
      <c r="T377" s="178"/>
      <c r="U377" s="178"/>
      <c r="V377" s="178"/>
      <c r="W377" s="178"/>
      <c r="X377" s="136"/>
      <c r="Y377" s="135"/>
      <c r="Z377" s="135"/>
    </row>
    <row r="378" spans="1:26" ht="18.75" x14ac:dyDescent="0.25">
      <c r="B378" s="2"/>
      <c r="C378" s="133"/>
      <c r="D378" s="6"/>
      <c r="E378" s="137" t="s">
        <v>435</v>
      </c>
      <c r="F378" s="140"/>
      <c r="G378" s="139"/>
      <c r="H378" s="139"/>
      <c r="L378" s="142"/>
      <c r="M378" s="138"/>
      <c r="N378" s="139"/>
      <c r="O378" s="139" t="s">
        <v>436</v>
      </c>
      <c r="P378" s="138"/>
      <c r="S378" s="178" t="s">
        <v>437</v>
      </c>
      <c r="T378" s="178"/>
      <c r="U378" s="178"/>
      <c r="V378" s="178"/>
      <c r="W378" s="178"/>
      <c r="X378" s="135"/>
      <c r="Y378" s="135"/>
      <c r="Z378" s="135"/>
    </row>
    <row r="379" spans="1:26" ht="18.75" x14ac:dyDescent="0.25">
      <c r="B379" s="2"/>
      <c r="C379" s="133"/>
      <c r="D379" s="6"/>
      <c r="E379" s="137"/>
      <c r="F379" s="143"/>
      <c r="G379" s="139"/>
      <c r="H379" s="139"/>
      <c r="L379" s="142"/>
      <c r="M379" s="138"/>
      <c r="N379" s="139"/>
      <c r="O379" s="139"/>
      <c r="P379" s="138"/>
      <c r="S379" s="138"/>
      <c r="T379" s="144"/>
      <c r="U379" s="144"/>
      <c r="V379" s="144"/>
      <c r="W379" s="144"/>
      <c r="X379" s="145"/>
      <c r="Y379" s="146"/>
      <c r="Z379" s="146"/>
    </row>
    <row r="380" spans="1:26" ht="18.75" x14ac:dyDescent="0.25">
      <c r="B380" s="2"/>
      <c r="C380" s="133"/>
      <c r="D380" s="6"/>
      <c r="E380" s="137"/>
      <c r="F380" s="143"/>
      <c r="G380" s="139"/>
      <c r="H380" s="139"/>
      <c r="L380" s="138"/>
      <c r="M380" s="138"/>
      <c r="N380" s="139"/>
      <c r="O380" s="139"/>
      <c r="P380" s="138"/>
      <c r="S380" s="138"/>
      <c r="T380" s="144"/>
      <c r="U380" s="144"/>
      <c r="V380" s="144"/>
      <c r="W380" s="144"/>
      <c r="X380" s="145"/>
      <c r="Y380" s="146"/>
      <c r="Z380" s="147"/>
    </row>
    <row r="381" spans="1:26" ht="18.75" x14ac:dyDescent="0.25">
      <c r="B381" s="2"/>
      <c r="C381" s="133"/>
      <c r="D381" s="6"/>
      <c r="E381" s="137"/>
      <c r="F381" s="143"/>
      <c r="G381" s="139"/>
      <c r="H381" s="139"/>
      <c r="L381" s="138"/>
      <c r="M381" s="138"/>
      <c r="N381" s="139"/>
      <c r="O381" s="139"/>
      <c r="P381" s="138"/>
      <c r="S381" s="138"/>
      <c r="T381" s="144"/>
      <c r="U381" s="144"/>
      <c r="V381" s="144"/>
      <c r="W381" s="144"/>
      <c r="X381" s="145"/>
      <c r="Y381" s="146"/>
      <c r="Z381" s="147"/>
    </row>
    <row r="382" spans="1:26" ht="18.75" x14ac:dyDescent="0.3">
      <c r="B382" s="133"/>
      <c r="C382" s="133"/>
      <c r="D382" s="6"/>
      <c r="E382" s="170"/>
      <c r="F382" s="170"/>
      <c r="G382" s="170"/>
      <c r="H382" s="148"/>
      <c r="L382" s="149"/>
      <c r="M382" s="149"/>
      <c r="N382" s="148"/>
      <c r="O382" s="148"/>
      <c r="P382" s="149"/>
      <c r="S382" s="149"/>
      <c r="T382" s="150"/>
      <c r="U382" s="150"/>
      <c r="V382" s="150"/>
      <c r="W382" s="150"/>
      <c r="X382" s="151"/>
      <c r="Y382" s="133"/>
      <c r="Z382" s="6"/>
    </row>
    <row r="383" spans="1:26" ht="18.75" x14ac:dyDescent="0.3">
      <c r="B383" s="2"/>
      <c r="C383" s="133"/>
      <c r="D383" s="133"/>
      <c r="E383" s="152" t="s">
        <v>438</v>
      </c>
      <c r="F383" s="153"/>
      <c r="G383" s="154"/>
      <c r="H383" s="154"/>
      <c r="L383" s="155"/>
      <c r="M383" s="155"/>
      <c r="N383" s="154"/>
      <c r="O383" s="150" t="s">
        <v>59</v>
      </c>
      <c r="P383" s="155"/>
      <c r="S383" s="1"/>
      <c r="T383" s="171" t="s">
        <v>25</v>
      </c>
      <c r="U383" s="171"/>
      <c r="V383" s="171"/>
      <c r="W383" s="156"/>
      <c r="X383" s="157"/>
      <c r="Y383" s="6"/>
      <c r="Z383" s="6"/>
    </row>
  </sheetData>
  <autoFilter ref="Q1:Q383" xr:uid="{00000000-0001-0000-0000-000000000000}"/>
  <mergeCells count="18">
    <mergeCell ref="E382:G382"/>
    <mergeCell ref="T383:V383"/>
    <mergeCell ref="S6:X6"/>
    <mergeCell ref="Y6:Y7"/>
    <mergeCell ref="Z6:Z7"/>
    <mergeCell ref="E377:G377"/>
    <mergeCell ref="S377:W377"/>
    <mergeCell ref="S378:W378"/>
    <mergeCell ref="D2:O2"/>
    <mergeCell ref="D3:O3"/>
    <mergeCell ref="D4:Y4"/>
    <mergeCell ref="B6:B7"/>
    <mergeCell ref="D6:D7"/>
    <mergeCell ref="E6:E7"/>
    <mergeCell ref="F6:F7"/>
    <mergeCell ref="G6:J6"/>
    <mergeCell ref="K6:N6"/>
    <mergeCell ref="O6:R6"/>
  </mergeCells>
  <pageMargins left="0.24" right="0.16" top="0.25" bottom="0.22" header="0.24" footer="0.2"/>
  <pageSetup paperSize="9" scale="50" orientation="landscape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quý I2026</vt:lpstr>
      <vt:lpstr>'quý I2026'!Print_Titles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hcl ho</cp:lastModifiedBy>
  <dcterms:created xsi:type="dcterms:W3CDTF">2026-04-15T06:11:25Z</dcterms:created>
  <dcterms:modified xsi:type="dcterms:W3CDTF">2026-05-14T04:22:30Z</dcterms:modified>
</cp:coreProperties>
</file>